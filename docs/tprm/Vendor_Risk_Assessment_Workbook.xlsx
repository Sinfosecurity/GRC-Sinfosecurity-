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tahirah-macmini/Downloads/"/>
    </mc:Choice>
  </mc:AlternateContent>
  <xr:revisionPtr revIDLastSave="0" documentId="8_{63B04C7B-DAA8-4947-A085-E65A05C86C98}" xr6:coauthVersionLast="47" xr6:coauthVersionMax="47" xr10:uidLastSave="{00000000-0000-0000-0000-000000000000}"/>
  <bookViews>
    <workbookView xWindow="0" yWindow="600" windowWidth="38400" windowHeight="19240" xr2:uid="{00000000-000D-0000-FFFF-FFFF00000000}"/>
  </bookViews>
  <sheets>
    <sheet name="Read Me" sheetId="1" r:id="rId1"/>
    <sheet name="Dashboard" sheetId="2" r:id="rId2"/>
    <sheet name="Vendor Profile" sheetId="3" r:id="rId3"/>
    <sheet name="Questionnaire Scope" sheetId="4" r:id="rId4"/>
    <sheet name="Inherent Risk" sheetId="5" r:id="rId5"/>
    <sheet name="Questionnaire" sheetId="6" r:id="rId6"/>
    <sheet name="Evidence Register" sheetId="7" r:id="rId7"/>
    <sheet name="Scoring Guide" sheetId="8" r:id="rId8"/>
    <sheet name="Lists" sheetId="9" r:id="rId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4" l="1"/>
  <c r="Q107" i="6"/>
  <c r="R107" i="6"/>
  <c r="O107" i="6"/>
  <c r="N107" i="6"/>
  <c r="Q106" i="6"/>
  <c r="R106" i="6"/>
  <c r="O106" i="6"/>
  <c r="N106" i="6"/>
  <c r="Q105" i="6"/>
  <c r="R105" i="6"/>
  <c r="O105" i="6"/>
  <c r="N105" i="6"/>
  <c r="Q104" i="6"/>
  <c r="R104" i="6"/>
  <c r="O104" i="6"/>
  <c r="N104" i="6"/>
  <c r="Q103" i="6"/>
  <c r="R103" i="6"/>
  <c r="O103" i="6"/>
  <c r="N103" i="6"/>
  <c r="Q102" i="6"/>
  <c r="R102" i="6"/>
  <c r="O102" i="6"/>
  <c r="N102" i="6"/>
  <c r="D10" i="4"/>
  <c r="Q101" i="6"/>
  <c r="R101" i="6"/>
  <c r="O101" i="6"/>
  <c r="N101" i="6"/>
  <c r="Q100" i="6"/>
  <c r="R100" i="6"/>
  <c r="O100" i="6"/>
  <c r="N100" i="6"/>
  <c r="Q99" i="6"/>
  <c r="R99" i="6"/>
  <c r="O99" i="6"/>
  <c r="N99" i="6"/>
  <c r="Q98" i="6"/>
  <c r="R98" i="6"/>
  <c r="O98" i="6"/>
  <c r="N98" i="6"/>
  <c r="Q97" i="6"/>
  <c r="R97" i="6"/>
  <c r="O97" i="6"/>
  <c r="N97" i="6"/>
  <c r="Q96" i="6"/>
  <c r="R96" i="6"/>
  <c r="O96" i="6"/>
  <c r="N96" i="6"/>
  <c r="D9" i="4"/>
  <c r="Q95" i="6"/>
  <c r="R95" i="6"/>
  <c r="O95" i="6"/>
  <c r="N95" i="6"/>
  <c r="Q94" i="6"/>
  <c r="R94" i="6"/>
  <c r="O94" i="6"/>
  <c r="N94" i="6"/>
  <c r="Q93" i="6"/>
  <c r="R93" i="6"/>
  <c r="O93" i="6"/>
  <c r="N93" i="6"/>
  <c r="Q92" i="6"/>
  <c r="R92" i="6"/>
  <c r="O92" i="6"/>
  <c r="N92" i="6"/>
  <c r="Q91" i="6"/>
  <c r="R91" i="6"/>
  <c r="O91" i="6"/>
  <c r="N91" i="6"/>
  <c r="Q90" i="6"/>
  <c r="R90" i="6"/>
  <c r="O90" i="6"/>
  <c r="N90" i="6"/>
  <c r="Q89" i="6"/>
  <c r="R89" i="6"/>
  <c r="O89" i="6"/>
  <c r="N89" i="6"/>
  <c r="D7" i="4"/>
  <c r="Q88" i="6"/>
  <c r="R88" i="6"/>
  <c r="O88" i="6"/>
  <c r="N88" i="6"/>
  <c r="Q87" i="6"/>
  <c r="R87" i="6"/>
  <c r="O87" i="6"/>
  <c r="N87" i="6"/>
  <c r="Q86" i="6"/>
  <c r="R86" i="6"/>
  <c r="O86" i="6"/>
  <c r="N86" i="6"/>
  <c r="Q85" i="6"/>
  <c r="R85" i="6"/>
  <c r="O85" i="6"/>
  <c r="N85" i="6"/>
  <c r="Q84" i="6"/>
  <c r="R84" i="6"/>
  <c r="O84" i="6"/>
  <c r="N84" i="6"/>
  <c r="Q83" i="6"/>
  <c r="R83" i="6"/>
  <c r="O83" i="6"/>
  <c r="N83" i="6"/>
  <c r="Q82" i="6"/>
  <c r="R82" i="6"/>
  <c r="O82" i="6"/>
  <c r="N82" i="6"/>
  <c r="Q81" i="6"/>
  <c r="R81" i="6"/>
  <c r="O81" i="6"/>
  <c r="N81" i="6"/>
  <c r="Q80" i="6"/>
  <c r="R80" i="6"/>
  <c r="O80" i="6"/>
  <c r="N80" i="6"/>
  <c r="Q79" i="6"/>
  <c r="R79" i="6"/>
  <c r="O79" i="6"/>
  <c r="N79" i="6"/>
  <c r="Q78" i="6"/>
  <c r="R78" i="6"/>
  <c r="O78" i="6"/>
  <c r="N78" i="6"/>
  <c r="Q77" i="6"/>
  <c r="R77" i="6"/>
  <c r="O77" i="6"/>
  <c r="N77" i="6"/>
  <c r="Q76" i="6"/>
  <c r="R76" i="6"/>
  <c r="O76" i="6"/>
  <c r="N76" i="6"/>
  <c r="D11" i="4"/>
  <c r="Q75" i="6"/>
  <c r="R75" i="6"/>
  <c r="O75" i="6"/>
  <c r="N75" i="6"/>
  <c r="Q74" i="6"/>
  <c r="R74" i="6"/>
  <c r="O74" i="6"/>
  <c r="N74" i="6"/>
  <c r="Q73" i="6"/>
  <c r="R73" i="6"/>
  <c r="O73" i="6"/>
  <c r="N73" i="6"/>
  <c r="Q72" i="6"/>
  <c r="R72" i="6"/>
  <c r="O72" i="6"/>
  <c r="N72" i="6"/>
  <c r="Q71" i="6"/>
  <c r="R71" i="6"/>
  <c r="O71" i="6"/>
  <c r="N71" i="6"/>
  <c r="Q70" i="6"/>
  <c r="R70" i="6"/>
  <c r="O70" i="6"/>
  <c r="N70" i="6"/>
  <c r="Q69" i="6"/>
  <c r="R69" i="6"/>
  <c r="O69" i="6"/>
  <c r="N69" i="6"/>
  <c r="Q68" i="6"/>
  <c r="R68" i="6"/>
  <c r="O68" i="6"/>
  <c r="N68" i="6"/>
  <c r="Q67" i="6"/>
  <c r="R67" i="6"/>
  <c r="O67" i="6"/>
  <c r="N67" i="6"/>
  <c r="Q66" i="6"/>
  <c r="R66" i="6"/>
  <c r="O66" i="6"/>
  <c r="N66" i="6"/>
  <c r="Q65" i="6"/>
  <c r="R65" i="6"/>
  <c r="O65" i="6"/>
  <c r="N65" i="6"/>
  <c r="Q64" i="6"/>
  <c r="R64" i="6"/>
  <c r="O64" i="6"/>
  <c r="N64" i="6"/>
  <c r="Q63" i="6"/>
  <c r="R63" i="6"/>
  <c r="O63" i="6"/>
  <c r="N63" i="6"/>
  <c r="Q62" i="6"/>
  <c r="R62" i="6"/>
  <c r="O62" i="6"/>
  <c r="N62" i="6"/>
  <c r="Q61" i="6"/>
  <c r="R61" i="6"/>
  <c r="O61" i="6"/>
  <c r="N61" i="6"/>
  <c r="Q60" i="6"/>
  <c r="R60" i="6"/>
  <c r="O60" i="6"/>
  <c r="N60" i="6"/>
  <c r="Q59" i="6"/>
  <c r="R59" i="6"/>
  <c r="O59" i="6"/>
  <c r="N59" i="6"/>
  <c r="Q58" i="6"/>
  <c r="R58" i="6"/>
  <c r="O58" i="6"/>
  <c r="N58" i="6"/>
  <c r="D8" i="4"/>
  <c r="Q57" i="6"/>
  <c r="R57" i="6"/>
  <c r="O57" i="6"/>
  <c r="N57" i="6"/>
  <c r="Q56" i="6"/>
  <c r="R56" i="6"/>
  <c r="O56" i="6"/>
  <c r="N56" i="6"/>
  <c r="Q55" i="6"/>
  <c r="R55" i="6"/>
  <c r="O55" i="6"/>
  <c r="N55" i="6"/>
  <c r="Q54" i="6"/>
  <c r="R54" i="6"/>
  <c r="O54" i="6"/>
  <c r="N54" i="6"/>
  <c r="Q53" i="6"/>
  <c r="R53" i="6"/>
  <c r="O53" i="6"/>
  <c r="N53" i="6"/>
  <c r="Q52" i="6"/>
  <c r="R52" i="6"/>
  <c r="O52" i="6"/>
  <c r="N52" i="6"/>
  <c r="Q51" i="6"/>
  <c r="R51" i="6"/>
  <c r="O51" i="6"/>
  <c r="N51" i="6"/>
  <c r="Q50" i="6"/>
  <c r="R50" i="6"/>
  <c r="O50" i="6"/>
  <c r="N50" i="6"/>
  <c r="Q49" i="6"/>
  <c r="R49" i="6"/>
  <c r="O49" i="6"/>
  <c r="N49" i="6"/>
  <c r="Q48" i="6"/>
  <c r="R48" i="6"/>
  <c r="O48" i="6"/>
  <c r="N48" i="6"/>
  <c r="Q47" i="6"/>
  <c r="R47" i="6"/>
  <c r="O47" i="6"/>
  <c r="N47" i="6"/>
  <c r="Q46" i="6"/>
  <c r="R46" i="6"/>
  <c r="O46" i="6"/>
  <c r="N46" i="6"/>
  <c r="Q45" i="6"/>
  <c r="R45" i="6"/>
  <c r="O45" i="6"/>
  <c r="N45" i="6"/>
  <c r="Q44" i="6"/>
  <c r="R44" i="6"/>
  <c r="O44" i="6"/>
  <c r="N44" i="6"/>
  <c r="Q43" i="6"/>
  <c r="R43" i="6"/>
  <c r="O43" i="6"/>
  <c r="N43" i="6"/>
  <c r="Q42" i="6"/>
  <c r="R42" i="6"/>
  <c r="O42" i="6"/>
  <c r="N42" i="6"/>
  <c r="Q41" i="6"/>
  <c r="R41" i="6"/>
  <c r="O41" i="6"/>
  <c r="N41" i="6"/>
  <c r="Q40" i="6"/>
  <c r="R40" i="6"/>
  <c r="O40" i="6"/>
  <c r="N40" i="6"/>
  <c r="Q39" i="6"/>
  <c r="R39" i="6"/>
  <c r="O39" i="6"/>
  <c r="N39" i="6"/>
  <c r="Q38" i="6"/>
  <c r="R38" i="6"/>
  <c r="O38" i="6"/>
  <c r="N38" i="6"/>
  <c r="D13" i="4"/>
  <c r="Q37" i="6"/>
  <c r="R37" i="6"/>
  <c r="O37" i="6"/>
  <c r="N37" i="6"/>
  <c r="Q36" i="6"/>
  <c r="R36" i="6"/>
  <c r="O36" i="6"/>
  <c r="N36" i="6"/>
  <c r="Q35" i="6"/>
  <c r="R35" i="6"/>
  <c r="O35" i="6"/>
  <c r="N35" i="6"/>
  <c r="Q34" i="6"/>
  <c r="R34" i="6"/>
  <c r="O34" i="6"/>
  <c r="N34" i="6"/>
  <c r="Q33" i="6"/>
  <c r="R33" i="6"/>
  <c r="O33" i="6"/>
  <c r="N33" i="6"/>
  <c r="Q32" i="6"/>
  <c r="R32" i="6"/>
  <c r="O32" i="6"/>
  <c r="N32" i="6"/>
  <c r="Q31" i="6"/>
  <c r="R31" i="6"/>
  <c r="O31" i="6"/>
  <c r="N31" i="6"/>
  <c r="Q30" i="6"/>
  <c r="R30" i="6"/>
  <c r="O30" i="6"/>
  <c r="N30" i="6"/>
  <c r="Q29" i="6"/>
  <c r="R29" i="6"/>
  <c r="O29" i="6"/>
  <c r="N29" i="6"/>
  <c r="Q28" i="6"/>
  <c r="R28" i="6"/>
  <c r="O28" i="6"/>
  <c r="N28" i="6"/>
  <c r="Q27" i="6"/>
  <c r="R27" i="6"/>
  <c r="O27" i="6"/>
  <c r="N27" i="6"/>
  <c r="Q26" i="6"/>
  <c r="R26" i="6"/>
  <c r="O26" i="6"/>
  <c r="N26" i="6"/>
  <c r="Q25" i="6"/>
  <c r="R25" i="6"/>
  <c r="O25" i="6"/>
  <c r="N25" i="6"/>
  <c r="Q24" i="6"/>
  <c r="R24" i="6"/>
  <c r="O24" i="6"/>
  <c r="N24" i="6"/>
  <c r="Q23" i="6"/>
  <c r="R23" i="6"/>
  <c r="O23" i="6"/>
  <c r="N23" i="6"/>
  <c r="Q22" i="6"/>
  <c r="R22" i="6"/>
  <c r="O22" i="6"/>
  <c r="N22" i="6"/>
  <c r="Q21" i="6"/>
  <c r="R21" i="6"/>
  <c r="O21" i="6"/>
  <c r="N21" i="6"/>
  <c r="Q20" i="6"/>
  <c r="R20" i="6"/>
  <c r="O20" i="6"/>
  <c r="N20" i="6"/>
  <c r="Q19" i="6"/>
  <c r="R19" i="6"/>
  <c r="O19" i="6"/>
  <c r="N19" i="6"/>
  <c r="Q18" i="6"/>
  <c r="R18" i="6"/>
  <c r="O18" i="6"/>
  <c r="N18" i="6"/>
  <c r="Q17" i="6"/>
  <c r="R17" i="6"/>
  <c r="O17" i="6"/>
  <c r="N17" i="6"/>
  <c r="Q16" i="6"/>
  <c r="R16" i="6"/>
  <c r="O16" i="6"/>
  <c r="N16" i="6"/>
  <c r="Q15" i="6"/>
  <c r="R15" i="6"/>
  <c r="O15" i="6"/>
  <c r="N15" i="6"/>
  <c r="Q14" i="6"/>
  <c r="R14" i="6"/>
  <c r="O14" i="6"/>
  <c r="N14" i="6"/>
  <c r="Q13" i="6"/>
  <c r="R13" i="6"/>
  <c r="O13" i="6"/>
  <c r="N13" i="6"/>
  <c r="Q12" i="6"/>
  <c r="R12" i="6"/>
  <c r="O12" i="6"/>
  <c r="N12" i="6"/>
  <c r="Q11" i="6"/>
  <c r="R11" i="6"/>
  <c r="O11" i="6"/>
  <c r="N11" i="6"/>
  <c r="Q10" i="6"/>
  <c r="R10" i="6"/>
  <c r="O10" i="6"/>
  <c r="N10" i="6"/>
  <c r="Q9" i="6"/>
  <c r="R9" i="6"/>
  <c r="O9" i="6"/>
  <c r="N9" i="6"/>
  <c r="Q8" i="6"/>
  <c r="R8" i="6"/>
  <c r="O8" i="6"/>
  <c r="N8" i="6"/>
  <c r="Q7" i="6"/>
  <c r="R7" i="6"/>
  <c r="O7" i="6"/>
  <c r="N7" i="6"/>
  <c r="Q6" i="6"/>
  <c r="R6" i="6"/>
  <c r="O6" i="6"/>
  <c r="N6" i="6"/>
  <c r="F20" i="5"/>
  <c r="F19" i="5"/>
  <c r="F18" i="5"/>
  <c r="F17" i="5"/>
  <c r="F16" i="5"/>
  <c r="F15" i="5"/>
  <c r="F14" i="5"/>
  <c r="F13" i="5"/>
  <c r="F12" i="5"/>
  <c r="F11" i="5"/>
  <c r="F10" i="5"/>
  <c r="F9" i="5"/>
  <c r="I8" i="5"/>
  <c r="F8" i="5"/>
  <c r="F6" i="5"/>
  <c r="F7" i="5"/>
  <c r="I6" i="5"/>
  <c r="I7" i="5"/>
  <c r="F13" i="4"/>
  <c r="F12" i="4"/>
  <c r="F11" i="4"/>
  <c r="F10" i="4"/>
  <c r="F9" i="4"/>
  <c r="F8" i="4"/>
  <c r="F7" i="4"/>
  <c r="F6" i="4"/>
  <c r="B25" i="2"/>
  <c r="K25" i="2"/>
  <c r="J25" i="2"/>
  <c r="F25" i="2"/>
  <c r="G25" i="2"/>
  <c r="H25" i="2"/>
  <c r="E25" i="2"/>
  <c r="D25" i="2"/>
  <c r="C25" i="2"/>
  <c r="B24" i="2"/>
  <c r="K24" i="2"/>
  <c r="J24" i="2"/>
  <c r="F24" i="2"/>
  <c r="G24" i="2"/>
  <c r="H24" i="2"/>
  <c r="E24" i="2"/>
  <c r="D24" i="2"/>
  <c r="C24" i="2"/>
  <c r="B23" i="2"/>
  <c r="K23" i="2"/>
  <c r="J23" i="2"/>
  <c r="F23" i="2"/>
  <c r="G23" i="2"/>
  <c r="H23" i="2"/>
  <c r="E23" i="2"/>
  <c r="D23" i="2"/>
  <c r="C23" i="2"/>
  <c r="B22" i="2"/>
  <c r="K22" i="2"/>
  <c r="J22" i="2"/>
  <c r="F22" i="2"/>
  <c r="G22" i="2"/>
  <c r="H22" i="2"/>
  <c r="E22" i="2"/>
  <c r="D22" i="2"/>
  <c r="C22" i="2"/>
  <c r="B21" i="2"/>
  <c r="K21" i="2"/>
  <c r="J21" i="2"/>
  <c r="F21" i="2"/>
  <c r="G21" i="2"/>
  <c r="H21" i="2"/>
  <c r="E21" i="2"/>
  <c r="C21" i="2"/>
  <c r="D21" i="2"/>
  <c r="B20" i="2"/>
  <c r="K20" i="2"/>
  <c r="J20" i="2"/>
  <c r="F20" i="2"/>
  <c r="G20" i="2"/>
  <c r="H20" i="2"/>
  <c r="E20" i="2"/>
  <c r="D20" i="2"/>
  <c r="C20" i="2"/>
  <c r="B19" i="2"/>
  <c r="K19" i="2"/>
  <c r="J19" i="2"/>
  <c r="F19" i="2"/>
  <c r="G19" i="2"/>
  <c r="H19" i="2"/>
  <c r="E19" i="2"/>
  <c r="C19" i="2"/>
  <c r="D19" i="2"/>
  <c r="B18" i="2"/>
  <c r="K18" i="2"/>
  <c r="J18" i="2"/>
  <c r="F18" i="2"/>
  <c r="G18" i="2"/>
  <c r="H18" i="2"/>
  <c r="E18" i="2"/>
  <c r="C18" i="2"/>
  <c r="D18" i="2"/>
  <c r="B17" i="2"/>
  <c r="K17" i="2"/>
  <c r="J17" i="2"/>
  <c r="F17" i="2"/>
  <c r="G17" i="2"/>
  <c r="H17" i="2"/>
  <c r="E17" i="2"/>
  <c r="D17" i="2"/>
  <c r="C17" i="2"/>
  <c r="B16" i="2"/>
  <c r="K16" i="2"/>
  <c r="J16" i="2"/>
  <c r="F16" i="2"/>
  <c r="G16" i="2"/>
  <c r="H16" i="2"/>
  <c r="E16" i="2"/>
  <c r="C16" i="2"/>
  <c r="D16" i="2"/>
  <c r="B15" i="2"/>
  <c r="K15" i="2"/>
  <c r="J15" i="2"/>
  <c r="F15" i="2"/>
  <c r="G15" i="2"/>
  <c r="H15" i="2"/>
  <c r="E15" i="2"/>
  <c r="D15" i="2"/>
  <c r="C15" i="2"/>
  <c r="B14" i="2"/>
  <c r="K14" i="2"/>
  <c r="J14" i="2"/>
  <c r="F14" i="2"/>
  <c r="G14" i="2"/>
  <c r="H14" i="2"/>
  <c r="E14" i="2"/>
  <c r="D14" i="2"/>
  <c r="C14" i="2"/>
  <c r="B13" i="2"/>
  <c r="K13" i="2"/>
  <c r="J13" i="2"/>
  <c r="F13" i="2"/>
  <c r="G13" i="2"/>
  <c r="H13" i="2"/>
  <c r="E13" i="2"/>
  <c r="C13" i="2"/>
  <c r="D13" i="2"/>
  <c r="B12" i="2"/>
  <c r="K12" i="2"/>
  <c r="J12" i="2"/>
  <c r="F12" i="2"/>
  <c r="G12" i="2"/>
  <c r="H12" i="2"/>
  <c r="E12" i="2"/>
  <c r="C12" i="2"/>
  <c r="D12" i="2"/>
  <c r="B11" i="2"/>
  <c r="K11" i="2"/>
  <c r="J11" i="2"/>
  <c r="F11" i="2"/>
  <c r="G11" i="2"/>
  <c r="H11" i="2"/>
  <c r="E11" i="2"/>
  <c r="D11" i="2"/>
  <c r="C11" i="2"/>
  <c r="B10" i="2"/>
  <c r="K10" i="2"/>
  <c r="J10" i="2"/>
  <c r="F10" i="2"/>
  <c r="G10" i="2"/>
  <c r="H10" i="2"/>
  <c r="E10" i="2"/>
  <c r="C10" i="2"/>
  <c r="D10" i="2"/>
  <c r="H6" i="2"/>
  <c r="G6" i="2"/>
  <c r="E6" i="2"/>
  <c r="A6" i="2"/>
  <c r="B6" i="2"/>
  <c r="D6" i="2"/>
</calcChain>
</file>

<file path=xl/sharedStrings.xml><?xml version="1.0" encoding="utf-8"?>
<sst xmlns="http://schemas.openxmlformats.org/spreadsheetml/2006/main" count="1392" uniqueCount="807">
  <si>
    <t>Vendor Risk Assessment Workbook</t>
  </si>
  <si>
    <t>Original questionnaire and scoring model for assessing service providers and technology suppliers.</t>
  </si>
  <si>
    <t>Purpose</t>
  </si>
  <si>
    <t>Collect, score, and review vendor security, privacy, resilience, and compliance information.</t>
  </si>
  <si>
    <t>Recommended workflow</t>
  </si>
  <si>
    <t>1. Complete Vendor Profile. 2. Select applicable packs in Questionnaire Scope. 3. Complete Inherent Risk. 4. Answer rows marked Answer in Questionnaire. 5. Link evidence and review Dashboard.</t>
  </si>
  <si>
    <t>Response model</t>
  </si>
  <si>
    <t>Yes = implemented; Partial = partly implemented; No = not implemented; N/A = not applicable with explanation; Not Answered = pending.</t>
  </si>
  <si>
    <t>Scoring</t>
  </si>
  <si>
    <t>Each applicable question has a weight from 1 to 5. Partial adds 2 × weight and No adds 4 × weight. Lower residual-risk percentages are better.</t>
  </si>
  <si>
    <t>Customization</t>
  </si>
  <si>
    <t>Add organization-specific questions beneath the existing table and preserve unique IDs. Adjust weights only under an approved methodology.</t>
  </si>
  <si>
    <t>Evidence</t>
  </si>
  <si>
    <t>Reference supporting items in the Evidence Register and enter the evidence ID in the Questionnaire.</t>
  </si>
  <si>
    <t>App import</t>
  </si>
  <si>
    <t>Stable control IDs, domain names, typed fields, and dropdown values make the Questionnaire suitable for structured import.</t>
  </si>
  <si>
    <t>Content notice</t>
  </si>
  <si>
    <t>This workbook contains independently written content. It is not a Shared Assessments SIG product and should not be represented as one.</t>
  </si>
  <si>
    <t>Version</t>
  </si>
  <si>
    <t>1.0 — September 2026</t>
  </si>
  <si>
    <t>Reference resources</t>
  </si>
  <si>
    <t>NIST Cybersecurity Framework 2.0</t>
  </si>
  <si>
    <t>https://www.nist.gov/cyberframework</t>
  </si>
  <si>
    <t>CISA Cybersecurity Performance Goals</t>
  </si>
  <si>
    <t>https://www.cisa.gov/cybersecurity-performance-goals</t>
  </si>
  <si>
    <t>CIS Critical Security Controls</t>
  </si>
  <si>
    <t>https://www.cisecurity.org/controls</t>
  </si>
  <si>
    <t>Assessment Dashboard</t>
  </si>
  <si>
    <t>Formula-driven summary of completion and residual control risk.</t>
  </si>
  <si>
    <t>Total controls</t>
  </si>
  <si>
    <t>Answered controls</t>
  </si>
  <si>
    <t>Completion</t>
  </si>
  <si>
    <t>Residual risk</t>
  </si>
  <si>
    <t>Open findings</t>
  </si>
  <si>
    <t>Evidence accepted</t>
  </si>
  <si>
    <t>Domain</t>
  </si>
  <si>
    <t>Controls</t>
  </si>
  <si>
    <t>Answered</t>
  </si>
  <si>
    <t>Risk score</t>
  </si>
  <si>
    <t>Maximum</t>
  </si>
  <si>
    <t>Risk level</t>
  </si>
  <si>
    <t>Governance and Risk</t>
  </si>
  <si>
    <t>Asset and Data Management</t>
  </si>
  <si>
    <t>Identity and Access</t>
  </si>
  <si>
    <t>Human Resources Security</t>
  </si>
  <si>
    <t>Physical Security</t>
  </si>
  <si>
    <t>Secure Configuration</t>
  </si>
  <si>
    <t>Vulnerability Management</t>
  </si>
  <si>
    <t>Application Security</t>
  </si>
  <si>
    <t>Logging and Monitoring</t>
  </si>
  <si>
    <t>Incident Response</t>
  </si>
  <si>
    <t>Business Continuity</t>
  </si>
  <si>
    <t>Third-Party Management</t>
  </si>
  <si>
    <t>Privacy</t>
  </si>
  <si>
    <t>Cloud and Infrastructure</t>
  </si>
  <si>
    <t>Endpoint and Network Security</t>
  </si>
  <si>
    <t>Compliance and Assurance</t>
  </si>
  <si>
    <t>Vendor Profile</t>
  </si>
  <si>
    <t>Complete before assigning or reviewing the questionnaire.</t>
  </si>
  <si>
    <t>Field</t>
  </si>
  <si>
    <t>Response</t>
  </si>
  <si>
    <t>Vendor legal name</t>
  </si>
  <si>
    <t>Service or product</t>
  </si>
  <si>
    <t>Business owner</t>
  </si>
  <si>
    <t>Assessment owner</t>
  </si>
  <si>
    <t>Primary vendor contact</t>
  </si>
  <si>
    <t>Assessment date</t>
  </si>
  <si>
    <t>Target completion date</t>
  </si>
  <si>
    <t>Service description</t>
  </si>
  <si>
    <t>Customer data involved</t>
  </si>
  <si>
    <t>Hosting model</t>
  </si>
  <si>
    <t>Primary processing locations</t>
  </si>
  <si>
    <t>Critical subcontractors</t>
  </si>
  <si>
    <t>Contract renewal date</t>
  </si>
  <si>
    <t>Overall risk tier</t>
  </si>
  <si>
    <t>Moderate</t>
  </si>
  <si>
    <t>Questionnaire Scope</t>
  </si>
  <si>
    <t>Complete the service profile below. The Questionnaire uses these selections to mark each question Answer, Skip, or Confirm scope.</t>
  </si>
  <si>
    <t>Questionnaire pack</t>
  </si>
  <si>
    <t>Use this pack when</t>
  </si>
  <si>
    <t>Vendor response</t>
  </si>
  <si>
    <t>Include pack</t>
  </si>
  <si>
    <t>Questions</t>
  </si>
  <si>
    <t>Vendor instruction</t>
  </si>
  <si>
    <t>Baseline</t>
  </si>
  <si>
    <t>All vendors. Covers governance, workforce, identity, vulnerability management, monitoring, incident response, and supplier oversight.</t>
  </si>
  <si>
    <t>Yes</t>
  </si>
  <si>
    <t>Personal and Sensitive Data</t>
  </si>
  <si>
    <t>The service stores, processes, transmits, or can access customer, confidential, personal, regulated, authentication, payment, or health information.</t>
  </si>
  <si>
    <t>Unknown</t>
  </si>
  <si>
    <t>Software and API</t>
  </si>
  <si>
    <t>The vendor supplies software, a hosted application, an API, custom code, or develops code used by the organization.</t>
  </si>
  <si>
    <t>Cloud Hosting</t>
  </si>
  <si>
    <t>The vendor hosts systems or data, operates cloud infrastructure, or provides a platform used to deliver the service.</t>
  </si>
  <si>
    <t>Privileged and Network Access</t>
  </si>
  <si>
    <t>The vendor connects to a trusted network or receives administrative, remote, service-account, or production-system access.</t>
  </si>
  <si>
    <t>Critical Operations</t>
  </si>
  <si>
    <t>An outage, recovery failure, or loss of the vendor would materially disrupt critical operations or customer commitments.</t>
  </si>
  <si>
    <t>Regulated Service</t>
  </si>
  <si>
    <t>The service supports a regulated activity or creates specific legal, contractual, audit, or certification obligations.</t>
  </si>
  <si>
    <t>Physical Delivery</t>
  </si>
  <si>
    <t>The service depends on vendor facilities, physical records, equipment handling, on-site access, or physical protection of systems or media.</t>
  </si>
  <si>
    <t>How to use the result</t>
  </si>
  <si>
    <t>Answer</t>
  </si>
  <si>
    <t>Complete the response, comments, and evidence fields for these questions.</t>
  </si>
  <si>
    <t>Skip</t>
  </si>
  <si>
    <t>No response is required. The row is excluded from completion and risk scoring.</t>
  </si>
  <si>
    <t>Confirm scope</t>
  </si>
  <si>
    <t>Ask the assessment owner whether the pack applies before answering or skipping it.</t>
  </si>
  <si>
    <t>Inherent Risk</t>
  </si>
  <si>
    <t>Rate exposure before considering the vendor's control responses.</t>
  </si>
  <si>
    <t>Risk ID</t>
  </si>
  <si>
    <t>Category</t>
  </si>
  <si>
    <t>Exposure question</t>
  </si>
  <si>
    <t>Rating</t>
  </si>
  <si>
    <t>Rationale</t>
  </si>
  <si>
    <t>Score</t>
  </si>
  <si>
    <t>Summary</t>
  </si>
  <si>
    <t>IR-01</t>
  </si>
  <si>
    <t>Service criticality</t>
  </si>
  <si>
    <t>Would an outage materially disrupt critical operations or customer commitments?</t>
  </si>
  <si>
    <t>Average score</t>
  </si>
  <si>
    <t>IR-02</t>
  </si>
  <si>
    <t>Sensitive data</t>
  </si>
  <si>
    <t>Will the vendor store or process confidential, regulated, authentication, payment, or health information?</t>
  </si>
  <si>
    <t>Inherent tier</t>
  </si>
  <si>
    <t>IR-03</t>
  </si>
  <si>
    <t>Data volume</t>
  </si>
  <si>
    <t>Will the vendor process a large or rapidly growing volume of organizational or customer records?</t>
  </si>
  <si>
    <t>High exposures</t>
  </si>
  <si>
    <t>IR-04</t>
  </si>
  <si>
    <t>Privileged access</t>
  </si>
  <si>
    <t>Will the vendor have administrative or privileged access to systems, networks, or cloud environments?</t>
  </si>
  <si>
    <t>IR-05</t>
  </si>
  <si>
    <t>System integration</t>
  </si>
  <si>
    <t>Will the service connect directly to production systems or trusted networks?</t>
  </si>
  <si>
    <t>IR-06</t>
  </si>
  <si>
    <t>Customer-facing</t>
  </si>
  <si>
    <t>Is the service directly used by customers or embedded in a customer-facing product?</t>
  </si>
  <si>
    <t>IR-07</t>
  </si>
  <si>
    <t>Financial impact</t>
  </si>
  <si>
    <t>Could service failure, fraud, or misuse create material financial loss?</t>
  </si>
  <si>
    <t>IR-08</t>
  </si>
  <si>
    <t>Regulatory impact</t>
  </si>
  <si>
    <t>Could the service affect compliance with a law, regulation, license, or supervisory commitment?</t>
  </si>
  <si>
    <t>IR-09</t>
  </si>
  <si>
    <t>Geographic exposure</t>
  </si>
  <si>
    <t>Will data or service delivery depend on higher-risk or legally complex jurisdictions?</t>
  </si>
  <si>
    <t>IR-10</t>
  </si>
  <si>
    <t>Subcontracting</t>
  </si>
  <si>
    <t>Will important service components or data processing be delegated to other providers?</t>
  </si>
  <si>
    <t>IR-11</t>
  </si>
  <si>
    <t>Concentration</t>
  </si>
  <si>
    <t>Would replacement be difficult because of unique technology, data, skills, or market concentration?</t>
  </si>
  <si>
    <t>IR-12</t>
  </si>
  <si>
    <t>Operational dependency</t>
  </si>
  <si>
    <t>Is the vendor required for time-sensitive or high-volume operations?</t>
  </si>
  <si>
    <t>IR-13</t>
  </si>
  <si>
    <t>Artificial intelligence</t>
  </si>
  <si>
    <t>Will the service train, operate, or make decisions using machine-learning or generative-AI capabilities?</t>
  </si>
  <si>
    <t>IR-14</t>
  </si>
  <si>
    <t>Public exposure</t>
  </si>
  <si>
    <t>Is the service reachable from the public internet or responsible for externally accessible infrastructure?</t>
  </si>
  <si>
    <t>IR-15</t>
  </si>
  <si>
    <t>Brand impact</t>
  </si>
  <si>
    <t>Could failure or misuse create significant customer harm or reputational damage?</t>
  </si>
  <si>
    <t>Vendor Security Questionnaire</t>
  </si>
  <si>
    <t>102 original control questions. Filter Vendor action to Answer; skip rows marked Skip.</t>
  </si>
  <si>
    <t>Control ID</t>
  </si>
  <si>
    <t>Topic</t>
  </si>
  <si>
    <t>Control question</t>
  </si>
  <si>
    <t>Response guidance</t>
  </si>
  <si>
    <t>Expected evidence</t>
  </si>
  <si>
    <t>Weight</t>
  </si>
  <si>
    <t>Vendor comments</t>
  </si>
  <si>
    <t>Evidence ID</t>
  </si>
  <si>
    <t>Owner</t>
  </si>
  <si>
    <t>Due date</t>
  </si>
  <si>
    <t>Workflow status</t>
  </si>
  <si>
    <t>Maximum score</t>
  </si>
  <si>
    <t>Applicable</t>
  </si>
  <si>
    <t>Vendor action</t>
  </si>
  <si>
    <t>VRA-001</t>
  </si>
  <si>
    <t>Governance</t>
  </si>
  <si>
    <t>Has management assigned accountable owners for information-security and technology-risk decisions?</t>
  </si>
  <si>
    <t>Provide the role or committee responsible for oversight.</t>
  </si>
  <si>
    <t>Governance charter or responsibility matrix</t>
  </si>
  <si>
    <t>Not Answered</t>
  </si>
  <si>
    <t>Open</t>
  </si>
  <si>
    <t>VRA-002</t>
  </si>
  <si>
    <t>Risk assessment</t>
  </si>
  <si>
    <t>Does the organization complete documented technology and security risk assessments on a defined schedule?</t>
  </si>
  <si>
    <t>State the frequency and the date of the most recent assessment.</t>
  </si>
  <si>
    <t>Risk assessment report</t>
  </si>
  <si>
    <t>VRA-003</t>
  </si>
  <si>
    <t>Risk treatment</t>
  </si>
  <si>
    <t>Are identified risks assigned an owner, treatment decision, target date, and tracked status?</t>
  </si>
  <si>
    <t>Describe the system used to monitor remediation.</t>
  </si>
  <si>
    <t>Risk register</t>
  </si>
  <si>
    <t>VRA-004</t>
  </si>
  <si>
    <t>Policy management</t>
  </si>
  <si>
    <t>Are security policies approved, reviewed at least annually, and communicated to relevant personnel?</t>
  </si>
  <si>
    <t>Include review and exception procedures.</t>
  </si>
  <si>
    <t>Policy governance standard</t>
  </si>
  <si>
    <t>VRA-005</t>
  </si>
  <si>
    <t>Exceptions</t>
  </si>
  <si>
    <t>Are policy exceptions documented, risk-assessed, time-limited, and approved by an authorized owner?</t>
  </si>
  <si>
    <t>Describe expiry and renewal controls.</t>
  </si>
  <si>
    <t>Exception register</t>
  </si>
  <si>
    <t>VRA-006</t>
  </si>
  <si>
    <t>Metrics</t>
  </si>
  <si>
    <t>Does leadership receive recurring measures covering material security risks, incidents, and remediation?</t>
  </si>
  <si>
    <t>Identify reporting frequency and audience.</t>
  </si>
  <si>
    <t>Security metrics report</t>
  </si>
  <si>
    <t>VRA-007</t>
  </si>
  <si>
    <t>Independent review</t>
  </si>
  <si>
    <t>Is the security program independently assessed by internal audit or a qualified external party?</t>
  </si>
  <si>
    <t>Provide the latest review date and scope.</t>
  </si>
  <si>
    <t>Audit or assessment report</t>
  </si>
  <si>
    <t>VRA-008</t>
  </si>
  <si>
    <t>Asset inventory</t>
  </si>
  <si>
    <t>Is an inventory maintained for systems, applications, cloud services, and infrastructure used to deliver the service?</t>
  </si>
  <si>
    <t>Include accountable owners and lifecycle status.</t>
  </si>
  <si>
    <t>Asset inventory extract</t>
  </si>
  <si>
    <t>VRA-009</t>
  </si>
  <si>
    <t>Data inventory</t>
  </si>
  <si>
    <t>Does the organization document the categories of customer and regulated data it receives, stores, processes, and transmits?</t>
  </si>
  <si>
    <t>Identify data owners and processing locations.</t>
  </si>
  <si>
    <t>Data inventory or record of processing</t>
  </si>
  <si>
    <t>VRA-010</t>
  </si>
  <si>
    <t>Classification</t>
  </si>
  <si>
    <t>Is information classified according to sensitivity and handling requirements?</t>
  </si>
  <si>
    <t>Describe classification levels and required protections.</t>
  </si>
  <si>
    <t>Data classification standard</t>
  </si>
  <si>
    <t>VRA-011</t>
  </si>
  <si>
    <t>Retention</t>
  </si>
  <si>
    <t>Are retention periods defined and enforced for customer data, logs, backups, and business records?</t>
  </si>
  <si>
    <t>Explain how legal holds override deletion.</t>
  </si>
  <si>
    <t>Retention schedule</t>
  </si>
  <si>
    <t>VRA-012</t>
  </si>
  <si>
    <t>Secure disposal</t>
  </si>
  <si>
    <t>Is data securely deleted or destroyed when no longer required, including copies held in backups and removable media?</t>
  </si>
  <si>
    <t>State methods and validation practices.</t>
  </si>
  <si>
    <t>Media disposal procedure</t>
  </si>
  <si>
    <t>VRA-013</t>
  </si>
  <si>
    <t>Data flow</t>
  </si>
  <si>
    <t>Are material data flows and external transfers documented and reviewed after significant service changes?</t>
  </si>
  <si>
    <t>Include subprocessors and integration points.</t>
  </si>
  <si>
    <t>Data-flow diagram</t>
  </si>
  <si>
    <t>VRA-014</t>
  </si>
  <si>
    <t>Access governance</t>
  </si>
  <si>
    <t>Are access rights approved by data or system owners before they are granted?</t>
  </si>
  <si>
    <t>Describe approval and provisioning controls.</t>
  </si>
  <si>
    <t>Access control procedure</t>
  </si>
  <si>
    <t>VRA-015</t>
  </si>
  <si>
    <t>Least privilege</t>
  </si>
  <si>
    <t>Are user and service-account permissions limited to job responsibilities and reviewed periodically?</t>
  </si>
  <si>
    <t>State the review frequency.</t>
  </si>
  <si>
    <t>Access review evidence</t>
  </si>
  <si>
    <t>VRA-016</t>
  </si>
  <si>
    <t>Authentication</t>
  </si>
  <si>
    <t>Is multi-factor authentication required for administrative access, remote access, and access to sensitive customer data?</t>
  </si>
  <si>
    <t>List any excluded systems and compensating controls.</t>
  </si>
  <si>
    <t>Authentication standard</t>
  </si>
  <si>
    <t>VRA-017</t>
  </si>
  <si>
    <t>Joiner-mover-leaver</t>
  </si>
  <si>
    <t>Are access changes completed promptly when personnel join, change roles, or leave?</t>
  </si>
  <si>
    <t>Provide target completion times.</t>
  </si>
  <si>
    <t>User lifecycle procedure</t>
  </si>
  <si>
    <t>VRA-018</t>
  </si>
  <si>
    <t>Are privileged credentials separately controlled, monitored, and protected from routine user activity?</t>
  </si>
  <si>
    <t>Describe vaulting, session controls, or equivalent safeguards.</t>
  </si>
  <si>
    <t>Privileged access standard</t>
  </si>
  <si>
    <t>VRA-019</t>
  </si>
  <si>
    <t>Service accounts</t>
  </si>
  <si>
    <t>Are service accounts inventoried, assigned owners, restricted from interactive use, and rotated or otherwise protected?</t>
  </si>
  <si>
    <t>Explain credential management.</t>
  </si>
  <si>
    <t>Service-account inventory</t>
  </si>
  <si>
    <t>VRA-020</t>
  </si>
  <si>
    <t>Access logging</t>
  </si>
  <si>
    <t>Are authentication and privileged-access events logged and reviewed for suspicious activity?</t>
  </si>
  <si>
    <t>State retention and alerting coverage.</t>
  </si>
  <si>
    <t>Access monitoring evidence</t>
  </si>
  <si>
    <t>VRA-021</t>
  </si>
  <si>
    <t>Screening</t>
  </si>
  <si>
    <t>Are personnel screened before receiving access, consistent with law, role sensitivity, and contractual obligations?</t>
  </si>
  <si>
    <t>Describe screening standards by role.</t>
  </si>
  <si>
    <t>Screening policy</t>
  </si>
  <si>
    <t>VRA-022</t>
  </si>
  <si>
    <t>Confidentiality</t>
  </si>
  <si>
    <t>Do personnel acknowledge confidentiality and acceptable-use obligations before accessing company or customer information?</t>
  </si>
  <si>
    <t>Describe renewal requirements.</t>
  </si>
  <si>
    <t>Agreement template</t>
  </si>
  <si>
    <t>VRA-023</t>
  </si>
  <si>
    <t>Training</t>
  </si>
  <si>
    <t>Do personnel complete security and privacy awareness training at hire and at least annually?</t>
  </si>
  <si>
    <t>Provide completion metrics for the latest cycle.</t>
  </si>
  <si>
    <t>Training report</t>
  </si>
  <si>
    <t>VRA-024</t>
  </si>
  <si>
    <t>Role training</t>
  </si>
  <si>
    <t>Do administrators, developers, responders, and privacy personnel receive training tailored to their responsibilities?</t>
  </si>
  <si>
    <t>Identify roles and frequency.</t>
  </si>
  <si>
    <t>Role-based training plan</t>
  </si>
  <si>
    <t>VRA-025</t>
  </si>
  <si>
    <t>Discipline</t>
  </si>
  <si>
    <t>Is there a documented process for investigating and addressing violations of security requirements?</t>
  </si>
  <si>
    <t>Describe coordination with HR and Legal.</t>
  </si>
  <si>
    <t>Disciplinary process</t>
  </si>
  <si>
    <t>VRA-026</t>
  </si>
  <si>
    <t>Termination</t>
  </si>
  <si>
    <t>Does the termination process include rapid access revocation and recovery of company assets?</t>
  </si>
  <si>
    <t>State normal and urgent revocation targets.</t>
  </si>
  <si>
    <t>Termination checklist</t>
  </si>
  <si>
    <t>VRA-027</t>
  </si>
  <si>
    <t>Facility access</t>
  </si>
  <si>
    <t>Are facilities hosting systems or sensitive records protected by controlled entry and visitor procedures?</t>
  </si>
  <si>
    <t>Describe access authorization and logging.</t>
  </si>
  <si>
    <t>Physical security procedure</t>
  </si>
  <si>
    <t>VRA-028</t>
  </si>
  <si>
    <t>Restricted areas</t>
  </si>
  <si>
    <t>Are data centers, network rooms, and other sensitive areas subject to additional access restrictions?</t>
  </si>
  <si>
    <t>Identify monitoring and review controls.</t>
  </si>
  <si>
    <t>Restricted-area access report</t>
  </si>
  <si>
    <t>VRA-029</t>
  </si>
  <si>
    <t>Environmental protection</t>
  </si>
  <si>
    <t>Are critical facilities protected against power loss, fire, water, temperature, and other environmental hazards?</t>
  </si>
  <si>
    <t>Summarize redundancy and testing.</t>
  </si>
  <si>
    <t>Facility controls report</t>
  </si>
  <si>
    <t>VRA-030</t>
  </si>
  <si>
    <t>Equipment protection</t>
  </si>
  <si>
    <t>Are devices and media protected during use, transport, storage, maintenance, and disposal?</t>
  </si>
  <si>
    <t>Cover off-site equipment where applicable.</t>
  </si>
  <si>
    <t>Equipment handling procedure</t>
  </si>
  <si>
    <t>VRA-031</t>
  </si>
  <si>
    <t>Visitor management</t>
  </si>
  <si>
    <t>Are visitors identified, logged, authorized, and escorted in non-public areas?</t>
  </si>
  <si>
    <t>State log retention.</t>
  </si>
  <si>
    <t>Visitor procedure</t>
  </si>
  <si>
    <t>VRA-032</t>
  </si>
  <si>
    <t>Surveillance</t>
  </si>
  <si>
    <t>Are security alarms or surveillance controls monitored and retained in accordance with risk and law?</t>
  </si>
  <si>
    <t>Describe coverage and retention.</t>
  </si>
  <si>
    <t>Monitoring standard</t>
  </si>
  <si>
    <t>VRA-033</t>
  </si>
  <si>
    <t>Baselines</t>
  </si>
  <si>
    <t>Are secure configuration baselines defined for operating systems, databases, network devices, cloud services, and endpoints?</t>
  </si>
  <si>
    <t>Identify baseline sources and exception handling.</t>
  </si>
  <si>
    <t>Configuration standard</t>
  </si>
  <si>
    <t>VRA-034</t>
  </si>
  <si>
    <t>Hardening</t>
  </si>
  <si>
    <t>Are default credentials, unnecessary services, and insecure protocols removed or disabled before production use?</t>
  </si>
  <si>
    <t>Describe build validation.</t>
  </si>
  <si>
    <t>Build checklist</t>
  </si>
  <si>
    <t>VRA-035</t>
  </si>
  <si>
    <t>Configuration monitoring</t>
  </si>
  <si>
    <t>Are material deviations from approved configurations detected and remediated?</t>
  </si>
  <si>
    <t>State monitoring coverage and cadence.</t>
  </si>
  <si>
    <t>Configuration compliance report</t>
  </si>
  <si>
    <t>VRA-036</t>
  </si>
  <si>
    <t>Change control</t>
  </si>
  <si>
    <t>Do production changes require testing, documented approval, rollback planning, and segregation of duties?</t>
  </si>
  <si>
    <t>Describe emergency-change review.</t>
  </si>
  <si>
    <t>Change management procedure</t>
  </si>
  <si>
    <t>VRA-037</t>
  </si>
  <si>
    <t>Infrastructure as code</t>
  </si>
  <si>
    <t>Where infrastructure is automated, are templates reviewed, version-controlled, and scanned before deployment?</t>
  </si>
  <si>
    <t>Describe approval and security checks.</t>
  </si>
  <si>
    <t>Pipeline evidence</t>
  </si>
  <si>
    <t>VRA-038</t>
  </si>
  <si>
    <t>Time synchronization</t>
  </si>
  <si>
    <t>Are system clocks synchronized to approved time sources to support reliable logging and investigation?</t>
  </si>
  <si>
    <t>Identify authoritative sources.</t>
  </si>
  <si>
    <t>Time configuration evidence</t>
  </si>
  <si>
    <t>VRA-039</t>
  </si>
  <si>
    <t>Scanning</t>
  </si>
  <si>
    <t>Are internal and external vulnerability scans performed at a frequency based on asset exposure and criticality?</t>
  </si>
  <si>
    <t>State coverage and frequency.</t>
  </si>
  <si>
    <t>Recent scan summary</t>
  </si>
  <si>
    <t>VRA-040</t>
  </si>
  <si>
    <t>Prioritization</t>
  </si>
  <si>
    <t>Are vulnerabilities prioritized using severity, exploitability, exposure, asset value, and available threat information?</t>
  </si>
  <si>
    <t>Describe the risk-rating method.</t>
  </si>
  <si>
    <t>Vulnerability procedure</t>
  </si>
  <si>
    <t>VRA-041</t>
  </si>
  <si>
    <t>Remediation</t>
  </si>
  <si>
    <t>Are remediation deadlines defined by risk and are overdue items escalated and formally accepted when necessary?</t>
  </si>
  <si>
    <t>Provide targets by severity.</t>
  </si>
  <si>
    <t>Remediation SLA</t>
  </si>
  <si>
    <t>VRA-042</t>
  </si>
  <si>
    <t>Penetration testing</t>
  </si>
  <si>
    <t>Is independent penetration testing completed at least annually and after material architectural changes?</t>
  </si>
  <si>
    <t>State scope and retest practices.</t>
  </si>
  <si>
    <t>Penetration-test executive summary</t>
  </si>
  <si>
    <t>VRA-043</t>
  </si>
  <si>
    <t>Patch management</t>
  </si>
  <si>
    <t>Are security patches tested and deployed within risk-based deadlines across supported assets?</t>
  </si>
  <si>
    <t>Describe emergency patching.</t>
  </si>
  <si>
    <t>Patch compliance report</t>
  </si>
  <si>
    <t>VRA-044</t>
  </si>
  <si>
    <t>Unsupported assets</t>
  </si>
  <si>
    <t>Are unsupported or end-of-life technologies prohibited or subject to documented compensating controls and replacement plans?</t>
  </si>
  <si>
    <t>Provide current exceptions.</t>
  </si>
  <si>
    <t>Technology lifecycle register</t>
  </si>
  <si>
    <t>VRA-045</t>
  </si>
  <si>
    <t>Disclosure</t>
  </si>
  <si>
    <t>Is there a documented channel and process for receiving, triaging, and responding to externally reported vulnerabilities?</t>
  </si>
  <si>
    <t>Identify response ownership.</t>
  </si>
  <si>
    <t>Vulnerability disclosure policy</t>
  </si>
  <si>
    <t>VRA-046</t>
  </si>
  <si>
    <t>Secure development</t>
  </si>
  <si>
    <t>Does the development lifecycle define security activities from design through deployment and maintenance?</t>
  </si>
  <si>
    <t>Describe required activities by change risk.</t>
  </si>
  <si>
    <t>Secure development standard</t>
  </si>
  <si>
    <t>VRA-047</t>
  </si>
  <si>
    <t>Design review</t>
  </si>
  <si>
    <t>Are security requirements and threat scenarios reviewed for new systems and material changes?</t>
  </si>
  <si>
    <t>Explain when threat modeling is required.</t>
  </si>
  <si>
    <t>Threat-model example</t>
  </si>
  <si>
    <t>VRA-048</t>
  </si>
  <si>
    <t>Code review</t>
  </si>
  <si>
    <t>Are source-code changes peer-reviewed and protected by branch, approval, and repository-access controls?</t>
  </si>
  <si>
    <t>Describe exceptions for urgent changes.</t>
  </si>
  <si>
    <t>Repository control evidence</t>
  </si>
  <si>
    <t>VRA-049</t>
  </si>
  <si>
    <t>Security testing</t>
  </si>
  <si>
    <t>Are code, dependencies, secrets, and running applications tested for security weaknesses before release?</t>
  </si>
  <si>
    <t>List testing methods and release gates.</t>
  </si>
  <si>
    <t>Security pipeline report</t>
  </si>
  <si>
    <t>VRA-050</t>
  </si>
  <si>
    <t>Environment separation</t>
  </si>
  <si>
    <t>Are development, test, and production environments separated with controlled promotion paths?</t>
  </si>
  <si>
    <t>Describe production-data restrictions outside production.</t>
  </si>
  <si>
    <t>Environment architecture</t>
  </si>
  <si>
    <t>VRA-051</t>
  </si>
  <si>
    <t>Secrets</t>
  </si>
  <si>
    <t>Are application secrets stored outside source code, access-controlled, and rotated based on risk?</t>
  </si>
  <si>
    <t>Identify secret-management tooling.</t>
  </si>
  <si>
    <t>Secrets management standard</t>
  </si>
  <si>
    <t>VRA-052</t>
  </si>
  <si>
    <t>API security</t>
  </si>
  <si>
    <t>Are APIs authenticated, authorized, rate-limited where appropriate, validated, and monitored for misuse?</t>
  </si>
  <si>
    <t>Describe gateway and testing controls.</t>
  </si>
  <si>
    <t>API security standard</t>
  </si>
  <si>
    <t>VRA-053</t>
  </si>
  <si>
    <t>Logging standard</t>
  </si>
  <si>
    <t>Are security-relevant events defined and logged consistently across critical systems and cloud services?</t>
  </si>
  <si>
    <t>Include authentication, privilege, configuration, and data-access events.</t>
  </si>
  <si>
    <t>VRA-054</t>
  </si>
  <si>
    <t>Centralization</t>
  </si>
  <si>
    <t>Are critical logs protected and centralized to support monitoring, investigation, and retention?</t>
  </si>
  <si>
    <t>Describe integrity and access controls.</t>
  </si>
  <si>
    <t>Logging architecture</t>
  </si>
  <si>
    <t>VRA-055</t>
  </si>
  <si>
    <t>Detection</t>
  </si>
  <si>
    <t>Are detection rules maintained for credible threats to the service and customer data?</t>
  </si>
  <si>
    <t>Describe rule review and tuning.</t>
  </si>
  <si>
    <t>Detection catalogue</t>
  </si>
  <si>
    <t>VRA-056</t>
  </si>
  <si>
    <t>Alert handling</t>
  </si>
  <si>
    <t>Are security alerts triaged under documented severity and response targets?</t>
  </si>
  <si>
    <t>Provide operating hours and escalation paths.</t>
  </si>
  <si>
    <t>Alert response procedure</t>
  </si>
  <si>
    <t>VRA-057</t>
  </si>
  <si>
    <t>Are log-retention periods based on investigation, contractual, regulatory, and operational needs?</t>
  </si>
  <si>
    <t>State online and archive retention.</t>
  </si>
  <si>
    <t>Log retention schedule</t>
  </si>
  <si>
    <t>VRA-058</t>
  </si>
  <si>
    <t>Monitoring assurance</t>
  </si>
  <si>
    <t>Is monitoring coverage tested to confirm that expected events generate usable alerts?</t>
  </si>
  <si>
    <t>Describe testing frequency.</t>
  </si>
  <si>
    <t>Detection test evidence</t>
  </si>
  <si>
    <t>VRA-059</t>
  </si>
  <si>
    <t>Response plan</t>
  </si>
  <si>
    <t>Is there an approved incident-response plan with defined roles, severity levels, communications, and decision authority?</t>
  </si>
  <si>
    <t>Provide the latest approval date.</t>
  </si>
  <si>
    <t>Incident-response plan</t>
  </si>
  <si>
    <t>VRA-060</t>
  </si>
  <si>
    <t>Readiness</t>
  </si>
  <si>
    <t>Are response contacts, tools, access, forensic capabilities, and external support arrangements maintained?</t>
  </si>
  <si>
    <t>Describe readiness checks.</t>
  </si>
  <si>
    <t>Response contact list</t>
  </si>
  <si>
    <t>VRA-061</t>
  </si>
  <si>
    <t>Testing</t>
  </si>
  <si>
    <t>Is the incident-response plan exercised at least annually using scenarios relevant to the service?</t>
  </si>
  <si>
    <t>Provide the latest exercise summary.</t>
  </si>
  <si>
    <t>Exercise report</t>
  </si>
  <si>
    <t>VRA-062</t>
  </si>
  <si>
    <t>Customer notification</t>
  </si>
  <si>
    <t>Does the response process identify contractual and legal customer-notification requirements and deadlines?</t>
  </si>
  <si>
    <t>Describe approval and delivery ownership.</t>
  </si>
  <si>
    <t>Breach notification procedure</t>
  </si>
  <si>
    <t>VRA-063</t>
  </si>
  <si>
    <t>Evidence handling</t>
  </si>
  <si>
    <t>Are investigation records and evidence collected, protected, and retained using documented practices?</t>
  </si>
  <si>
    <t>Address chain of custody where necessary.</t>
  </si>
  <si>
    <t>Evidence handling procedure</t>
  </si>
  <si>
    <t>VRA-064</t>
  </si>
  <si>
    <t>Lessons learned</t>
  </si>
  <si>
    <t>Are material incidents followed by root-cause analysis, corrective actions, and verification of completion?</t>
  </si>
  <si>
    <t>Describe tracking and governance.</t>
  </si>
  <si>
    <t>Post-incident review example</t>
  </si>
  <si>
    <t>VRA-065</t>
  </si>
  <si>
    <t>Impact analysis</t>
  </si>
  <si>
    <t>Does a business-impact analysis identify critical services, dependencies, recovery objectives, and maximum tolerable disruption?</t>
  </si>
  <si>
    <t>Provide the latest review date.</t>
  </si>
  <si>
    <t>Business-impact analysis</t>
  </si>
  <si>
    <t>VRA-066</t>
  </si>
  <si>
    <t>Continuity plans</t>
  </si>
  <si>
    <t>Are continuity and technology-recovery plans maintained for services supporting customers?</t>
  </si>
  <si>
    <t>Identify plan owners and review frequency.</t>
  </si>
  <si>
    <t>Continuity and recovery plans</t>
  </si>
  <si>
    <t>VRA-067</t>
  </si>
  <si>
    <t>Recovery testing</t>
  </si>
  <si>
    <t>Are recovery capabilities tested at least annually against documented recovery time and recovery point objectives?</t>
  </si>
  <si>
    <t>Provide the latest results and gaps.</t>
  </si>
  <si>
    <t>Recovery test report</t>
  </si>
  <si>
    <t>VRA-068</t>
  </si>
  <si>
    <t>Backup</t>
  </si>
  <si>
    <t>Are backups protected, monitored, periodically restored, and separated from normal administrative compromise paths?</t>
  </si>
  <si>
    <t>Describe immutability or equivalent controls.</t>
  </si>
  <si>
    <t>Backup and restore evidence</t>
  </si>
  <si>
    <t>VRA-069</t>
  </si>
  <si>
    <t>Crisis communication</t>
  </si>
  <si>
    <t>Are internal, customer, regulatory, and supplier communications addressed in crisis procedures?</t>
  </si>
  <si>
    <t>Describe message approval and alternate channels.</t>
  </si>
  <si>
    <t>Crisis communication plan</t>
  </si>
  <si>
    <t>VRA-070</t>
  </si>
  <si>
    <t>Dependency resilience</t>
  </si>
  <si>
    <t>Are critical personnel, facilities, utilities, technology providers, and suppliers included in resilience planning?</t>
  </si>
  <si>
    <t>Describe single-point-of-failure reviews.</t>
  </si>
  <si>
    <t>Dependency assessment</t>
  </si>
  <si>
    <t>VRA-071</t>
  </si>
  <si>
    <t>Due diligence</t>
  </si>
  <si>
    <t>Are suppliers evaluated for security, privacy, resilience, and compliance risk before access or service commencement?</t>
  </si>
  <si>
    <t>Describe assessment depth by risk tier.</t>
  </si>
  <si>
    <t>Supplier due-diligence procedure</t>
  </si>
  <si>
    <t>VRA-072</t>
  </si>
  <si>
    <t>Contract controls</t>
  </si>
  <si>
    <t>Do supplier contracts include applicable security, confidentiality, incident, audit, data handling, and termination obligations?</t>
  </si>
  <si>
    <t>Describe required clauses and exceptions.</t>
  </si>
  <si>
    <t>Contract requirements</t>
  </si>
  <si>
    <t>VRA-073</t>
  </si>
  <si>
    <t>Subprocessors</t>
  </si>
  <si>
    <t>Are subprocessors that handle customer data identified, approved as required, and subject to appropriate safeguards?</t>
  </si>
  <si>
    <t>Provide the current list or notification process.</t>
  </si>
  <si>
    <t>Subprocessor register</t>
  </si>
  <si>
    <t>VRA-074</t>
  </si>
  <si>
    <t>Monitoring</t>
  </si>
  <si>
    <t>Are critical suppliers reassessed and monitored throughout the relationship?</t>
  </si>
  <si>
    <t>State review frequency and trigger events.</t>
  </si>
  <si>
    <t>Supplier monitoring report</t>
  </si>
  <si>
    <t>VRA-075</t>
  </si>
  <si>
    <t>Concentration risk</t>
  </si>
  <si>
    <t>Are geographic, technology, and provider concentration risks considered for critical services?</t>
  </si>
  <si>
    <t>Describe mitigation or contingency plans.</t>
  </si>
  <si>
    <t>Concentration-risk assessment</t>
  </si>
  <si>
    <t>VRA-076</t>
  </si>
  <si>
    <t>Does supplier offboarding cover access revocation, data return or deletion, asset recovery, and continuity needs?</t>
  </si>
  <si>
    <t>Describe verification practices.</t>
  </si>
  <si>
    <t>Supplier exit checklist</t>
  </si>
  <si>
    <t>VRA-077</t>
  </si>
  <si>
    <t>Privacy governance</t>
  </si>
  <si>
    <t>Are privacy responsibilities, policies, and escalation routes defined for processing personal information?</t>
  </si>
  <si>
    <t>Identify the accountable function.</t>
  </si>
  <si>
    <t>Privacy governance policy</t>
  </si>
  <si>
    <t>VRA-078</t>
  </si>
  <si>
    <t>Legal basis</t>
  </si>
  <si>
    <t>Is personal-information processing documented with purpose, data categories, individuals, recipients, location, and applicable legal basis?</t>
  </si>
  <si>
    <t>Provide a representative record.</t>
  </si>
  <si>
    <t>Processing inventory</t>
  </si>
  <si>
    <t>VRA-079</t>
  </si>
  <si>
    <t>Minimization</t>
  </si>
  <si>
    <t>Is collection and use of personal information limited to defined and necessary purposes?</t>
  </si>
  <si>
    <t>Describe design and review controls.</t>
  </si>
  <si>
    <t>Data minimization standard</t>
  </si>
  <si>
    <t>VRA-080</t>
  </si>
  <si>
    <t>Individual rights</t>
  </si>
  <si>
    <t>Are requests concerning access, correction, deletion, portability, or objection authenticated and completed within applicable deadlines?</t>
  </si>
  <si>
    <t>Describe request tracking.</t>
  </si>
  <si>
    <t>Rights request procedure</t>
  </si>
  <si>
    <t>VRA-081</t>
  </si>
  <si>
    <t>Privacy incidents</t>
  </si>
  <si>
    <t>Are suspected personal-data incidents assessed for notification duties and documented decisions?</t>
  </si>
  <si>
    <t>Describe coordination with incident response.</t>
  </si>
  <si>
    <t>Privacy incident procedure</t>
  </si>
  <si>
    <t>VRA-082</t>
  </si>
  <si>
    <t>Cross-border transfer</t>
  </si>
  <si>
    <t>Are international personal-data transfers identified and supported by required transfer mechanisms and assessments?</t>
  </si>
  <si>
    <t>List transfer safeguards where applicable.</t>
  </si>
  <si>
    <t>Transfer assessment</t>
  </si>
  <si>
    <t>VRA-083</t>
  </si>
  <si>
    <t>Privacy by design</t>
  </si>
  <si>
    <t>Are privacy impacts assessed before material changes to products, data uses, or processing locations?</t>
  </si>
  <si>
    <t>State assessment triggers.</t>
  </si>
  <si>
    <t>Privacy impact assessment</t>
  </si>
  <si>
    <t>VRA-084</t>
  </si>
  <si>
    <t>Architecture</t>
  </si>
  <si>
    <t>Is the service architecture documented with trust boundaries, network paths, administrative planes, and security dependencies?</t>
  </si>
  <si>
    <t>Provide a current high-level diagram.</t>
  </si>
  <si>
    <t>Architecture diagram</t>
  </si>
  <si>
    <t>VRA-085</t>
  </si>
  <si>
    <t>Network controls</t>
  </si>
  <si>
    <t>Are network connections restricted according to business need and protected by layered controls?</t>
  </si>
  <si>
    <t>Describe segmentation and rule review.</t>
  </si>
  <si>
    <t>Network security standard</t>
  </si>
  <si>
    <t>VRA-086</t>
  </si>
  <si>
    <t>Cloud governance</t>
  </si>
  <si>
    <t>Are cloud accounts, subscriptions, and projects provisioned under centralized governance and security baselines?</t>
  </si>
  <si>
    <t>Describe guardrails and ownership.</t>
  </si>
  <si>
    <t>Cloud governance standard</t>
  </si>
  <si>
    <t>VRA-087</t>
  </si>
  <si>
    <t>Tenant isolation</t>
  </si>
  <si>
    <t>For shared services, are tenant data and operations isolated and tested against unauthorized cross-tenant access?</t>
  </si>
  <si>
    <t>Describe isolation design and testing.</t>
  </si>
  <si>
    <t>Isolation test evidence</t>
  </si>
  <si>
    <t>VRA-088</t>
  </si>
  <si>
    <t>Encryption in transit</t>
  </si>
  <si>
    <t>Is sensitive and customer data encrypted across untrusted networks using currently supported protocols?</t>
  </si>
  <si>
    <t>List exceptions and compensating controls.</t>
  </si>
  <si>
    <t>Cryptography standard</t>
  </si>
  <si>
    <t>VRA-089</t>
  </si>
  <si>
    <t>Encryption at rest</t>
  </si>
  <si>
    <t>Is sensitive and customer data encrypted at rest in production, backups, and portable media where applicable?</t>
  </si>
  <si>
    <t>Describe key ownership and scope.</t>
  </si>
  <si>
    <t>Encryption configuration evidence</t>
  </si>
  <si>
    <t>VRA-090</t>
  </si>
  <si>
    <t>Key management</t>
  </si>
  <si>
    <t>Are cryptographic keys generated, stored, accessed, rotated, revoked, and destroyed under documented controls?</t>
  </si>
  <si>
    <t>Describe separation of duties.</t>
  </si>
  <si>
    <t>Key-management procedure</t>
  </si>
  <si>
    <t>VRA-091</t>
  </si>
  <si>
    <t>Endpoint management</t>
  </si>
  <si>
    <t>Are company-managed endpoints enrolled in centralized configuration, inventory, and security monitoring?</t>
  </si>
  <si>
    <t>State coverage and exceptions.</t>
  </si>
  <si>
    <t>Endpoint compliance report</t>
  </si>
  <si>
    <t>VRA-092</t>
  </si>
  <si>
    <t>Malware protection</t>
  </si>
  <si>
    <t>Are preventive and detective controls deployed against malicious software and unauthorized execution?</t>
  </si>
  <si>
    <t>Describe coverage and response.</t>
  </si>
  <si>
    <t>Endpoint protection report</t>
  </si>
  <si>
    <t>VRA-093</t>
  </si>
  <si>
    <t>Device encryption</t>
  </si>
  <si>
    <t>Is full-disk encryption enforced on portable devices that may access company or customer information?</t>
  </si>
  <si>
    <t>State enforcement coverage.</t>
  </si>
  <si>
    <t>Encryption compliance report</t>
  </si>
  <si>
    <t>VRA-094</t>
  </si>
  <si>
    <t>Remote access</t>
  </si>
  <si>
    <t>Is remote administrative and workforce access authenticated, encrypted, monitored, and restricted by role and device posture?</t>
  </si>
  <si>
    <t>Describe access architecture.</t>
  </si>
  <si>
    <t>Remote access standard</t>
  </si>
  <si>
    <t>VRA-095</t>
  </si>
  <si>
    <t>Email security</t>
  </si>
  <si>
    <t>Are email threats reduced through authentication, filtering, attachment or link controls, and user reporting?</t>
  </si>
  <si>
    <t>Describe major controls.</t>
  </si>
  <si>
    <t>Email security configuration</t>
  </si>
  <si>
    <t>VRA-096</t>
  </si>
  <si>
    <t>Wireless security</t>
  </si>
  <si>
    <t>Are wireless networks securely configured, segmented, and periodically reviewed?</t>
  </si>
  <si>
    <t>Cover corporate and guest networks.</t>
  </si>
  <si>
    <t>Wireless standard</t>
  </si>
  <si>
    <t>VRA-097</t>
  </si>
  <si>
    <t>Obligations</t>
  </si>
  <si>
    <t>Are legal, regulatory, contractual, and industry security obligations identified and assigned to accountable owners?</t>
  </si>
  <si>
    <t>Describe the obligation inventory.</t>
  </si>
  <si>
    <t>Compliance register</t>
  </si>
  <si>
    <t>VRA-098</t>
  </si>
  <si>
    <t>Control testing</t>
  </si>
  <si>
    <t>Are key controls tested at planned intervals and are deficiencies tracked to closure?</t>
  </si>
  <si>
    <t>Describe test independence and frequency.</t>
  </si>
  <si>
    <t>Control test plan</t>
  </si>
  <si>
    <t>VRA-099</t>
  </si>
  <si>
    <t>External assurance</t>
  </si>
  <si>
    <t>Does the organization maintain independent assurance appropriate to the service and customer risk?</t>
  </si>
  <si>
    <t>Identify current reports or certifications.</t>
  </si>
  <si>
    <t>Assurance report or certificate</t>
  </si>
  <si>
    <t>VRA-100</t>
  </si>
  <si>
    <t>Customer audit</t>
  </si>
  <si>
    <t>Is there a defined process for responding to customer assurance requests and contractual audit rights?</t>
  </si>
  <si>
    <t>Describe coordination and evidence protection.</t>
  </si>
  <si>
    <t>Customer assurance procedure</t>
  </si>
  <si>
    <t>VRA-101</t>
  </si>
  <si>
    <t>Records</t>
  </si>
  <si>
    <t>Are compliance and assurance records protected, retained, and retrievable for required periods?</t>
  </si>
  <si>
    <t>State retention requirements.</t>
  </si>
  <si>
    <t>Records management procedure</t>
  </si>
  <si>
    <t>VRA-102</t>
  </si>
  <si>
    <t>Corrective actions</t>
  </si>
  <si>
    <t>Are audit and assessment findings risk-ranked, assigned, monitored, and independently validated before closure?</t>
  </si>
  <si>
    <t>Describe overdue escalation.</t>
  </si>
  <si>
    <t>Findings register</t>
  </si>
  <si>
    <t>Evidence Register</t>
  </si>
  <si>
    <t>Track documents and links supplied for the assessment. Do not place passwords or secrets in this workbook.</t>
  </si>
  <si>
    <t>Evidence request</t>
  </si>
  <si>
    <t>Required</t>
  </si>
  <si>
    <t>Status</t>
  </si>
  <si>
    <t>File name or secure link</t>
  </si>
  <si>
    <t>Review status</t>
  </si>
  <si>
    <t>Reviewer notes</t>
  </si>
  <si>
    <t>EV-001</t>
  </si>
  <si>
    <t>Provide current supporting evidence for Governance and Risk.</t>
  </si>
  <si>
    <t>Requested</t>
  </si>
  <si>
    <t>Not Reviewed</t>
  </si>
  <si>
    <t>EV-002</t>
  </si>
  <si>
    <t>Provide current supporting evidence for Asset and Data Management.</t>
  </si>
  <si>
    <t>EV-003</t>
  </si>
  <si>
    <t>Provide current supporting evidence for Identity and Access.</t>
  </si>
  <si>
    <t>EV-004</t>
  </si>
  <si>
    <t>Provide current supporting evidence for Human Resources Security.</t>
  </si>
  <si>
    <t>EV-005</t>
  </si>
  <si>
    <t>Provide current supporting evidence for Physical Security.</t>
  </si>
  <si>
    <t>EV-006</t>
  </si>
  <si>
    <t>Provide current supporting evidence for Secure Configuration.</t>
  </si>
  <si>
    <t>EV-007</t>
  </si>
  <si>
    <t>Provide current supporting evidence for Vulnerability Management.</t>
  </si>
  <si>
    <t>EV-008</t>
  </si>
  <si>
    <t>Provide current supporting evidence for Application Security.</t>
  </si>
  <si>
    <t>EV-009</t>
  </si>
  <si>
    <t>Provide current supporting evidence for Logging and Monitoring.</t>
  </si>
  <si>
    <t>EV-010</t>
  </si>
  <si>
    <t>Provide current supporting evidence for Incident Response.</t>
  </si>
  <si>
    <t>EV-011</t>
  </si>
  <si>
    <t>Provide current supporting evidence for Business Continuity.</t>
  </si>
  <si>
    <t>EV-012</t>
  </si>
  <si>
    <t>Provide current supporting evidence for Third-Party Management.</t>
  </si>
  <si>
    <t>EV-013</t>
  </si>
  <si>
    <t>Provide current supporting evidence for Privacy.</t>
  </si>
  <si>
    <t>EV-014</t>
  </si>
  <si>
    <t>Provide current supporting evidence for Cloud and Infrastructure.</t>
  </si>
  <si>
    <t>EV-015</t>
  </si>
  <si>
    <t>Provide current supporting evidence for Endpoint and Network Security.</t>
  </si>
  <si>
    <t>EV-016</t>
  </si>
  <si>
    <t>Provide current supporting evidence for Compliance and Assurance.</t>
  </si>
  <si>
    <t>EV-017</t>
  </si>
  <si>
    <t>Additional evidence request</t>
  </si>
  <si>
    <t>No</t>
  </si>
  <si>
    <t>Not Required</t>
  </si>
  <si>
    <t>EV-018</t>
  </si>
  <si>
    <t>EV-019</t>
  </si>
  <si>
    <t>EV-020</t>
  </si>
  <si>
    <t>EV-021</t>
  </si>
  <si>
    <t>EV-022</t>
  </si>
  <si>
    <t>EV-023</t>
  </si>
  <si>
    <t>EV-024</t>
  </si>
  <si>
    <t>EV-025</t>
  </si>
  <si>
    <t>EV-026</t>
  </si>
  <si>
    <t>EV-027</t>
  </si>
  <si>
    <t>EV-028</t>
  </si>
  <si>
    <t>EV-029</t>
  </si>
  <si>
    <t>EV-030</t>
  </si>
  <si>
    <t>Scoring Guide</t>
  </si>
  <si>
    <t>Apply ratings consistently and document material judgment in comments.</t>
  </si>
  <si>
    <t>Meaning</t>
  </si>
  <si>
    <t>Risk multiplier</t>
  </si>
  <si>
    <t>Expected comment</t>
  </si>
  <si>
    <t>Treatment</t>
  </si>
  <si>
    <t>The control is implemented and supported by adequate evidence.</t>
  </si>
  <si>
    <t>Optional unless clarification is needed.</t>
  </si>
  <si>
    <t>No response risk added.</t>
  </si>
  <si>
    <t>Partial</t>
  </si>
  <si>
    <t>The control is incomplete, inconsistently applied, or evidence shows a material limitation.</t>
  </si>
  <si>
    <t>Describe the gap and planned improvement.</t>
  </si>
  <si>
    <t>Review gap and remediation.</t>
  </si>
  <si>
    <t>The control is not implemented or does not address the stated outcome.</t>
  </si>
  <si>
    <t>Explain current exposure and compensating measures.</t>
  </si>
  <si>
    <t>Create or accept a finding.</t>
  </si>
  <si>
    <t>N/A</t>
  </si>
  <si>
    <t>The control does not apply to the service or processing model.</t>
  </si>
  <si>
    <t>Provide a specific applicability rationale.</t>
  </si>
  <si>
    <t>Reviewer validates rationale.</t>
  </si>
  <si>
    <t>A response has not been supplied.</t>
  </si>
  <si>
    <t>Request completion.</t>
  </si>
  <si>
    <t>Excluded from score; lowers completion.</t>
  </si>
  <si>
    <t>Residual-risk percentage</t>
  </si>
  <si>
    <t>Interpretation</t>
  </si>
  <si>
    <t>Typical action</t>
  </si>
  <si>
    <t>0% to &lt;15%</t>
  </si>
  <si>
    <t>Low</t>
  </si>
  <si>
    <t>Responses indicate limited unmitigated control risk.</t>
  </si>
  <si>
    <t>Complete normal review.</t>
  </si>
  <si>
    <t>15% to &lt;35%</t>
  </si>
  <si>
    <t>Some gaps require owner review or remediation.</t>
  </si>
  <si>
    <t>Track corrective actions.</t>
  </si>
  <si>
    <t>35% to &lt;60%</t>
  </si>
  <si>
    <t>High</t>
  </si>
  <si>
    <t>Material control gaps or weak evidence remain.</t>
  </si>
  <si>
    <t>Escalate and require treatment.</t>
  </si>
  <si>
    <t>60% to 100%</t>
  </si>
  <si>
    <t>Critical</t>
  </si>
  <si>
    <t>Severe or widespread control gaps remain.</t>
  </si>
  <si>
    <t>Do not approve without formal risk decision.</t>
  </si>
  <si>
    <t>Not rated</t>
  </si>
  <si>
    <t>No applicable answered questions are available.</t>
  </si>
  <si>
    <t>Obtain responses before decision.</t>
  </si>
  <si>
    <t>Workflow Status</t>
  </si>
  <si>
    <t>Risk Tier</t>
  </si>
  <si>
    <t>Yes/No</t>
  </si>
  <si>
    <t>Evidence Status</t>
  </si>
  <si>
    <t>Review Status</t>
  </si>
  <si>
    <t>In Progress</t>
  </si>
  <si>
    <t>Received</t>
  </si>
  <si>
    <t>Accepted</t>
  </si>
  <si>
    <t>Ready for Review</t>
  </si>
  <si>
    <t>Under Review</t>
  </si>
  <si>
    <t>Needs Update</t>
  </si>
  <si>
    <t>Closed</t>
  </si>
  <si>
    <t>Rejected</t>
  </si>
  <si>
    <t>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</si>
</sst>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5">
    <font>
      <sz val="11"/>
      <name val="Carlito"/>
    </font>
    <font>
      <b/>
      <sz val="18"/>
      <color rgb="FF18324A"/>
      <name val="Arial"/>
      <family val="2"/>
    </font>
    <font>
      <i/>
      <sz val="10"/>
      <color rgb="FF5B6573"/>
      <name val="Arial"/>
      <family val="2"/>
    </font>
    <font>
      <b/>
      <sz val="11"/>
      <color rgb="FF18324A"/>
      <name val="Arial"/>
      <family val="2"/>
    </font>
    <font>
      <sz val="11"/>
      <color rgb="FF1F2937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1F2937"/>
      <name val="Arial"/>
      <family val="2"/>
    </font>
    <font>
      <b/>
      <sz val="11"/>
      <color rgb="FF1F2937"/>
      <name val="Arial"/>
      <family val="2"/>
    </font>
    <font>
      <sz val="9"/>
      <color rgb="FF1F2937"/>
      <name val="Arial"/>
      <family val="2"/>
    </font>
    <font>
      <b/>
      <sz val="9"/>
      <color rgb="FF2F6690"/>
      <name val="Arial"/>
      <family val="2"/>
    </font>
    <font>
      <b/>
      <sz val="14"/>
      <color rgb="FF18324A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8324A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7">
    <border>
      <left/>
      <right/>
      <top/>
      <bottom/>
      <diagonal/>
    </border>
    <border>
      <left/>
      <right/>
      <top/>
      <bottom style="thin">
        <color rgb="FFAAB7C4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/>
      <right style="thin">
        <color rgb="FFFFFFFF"/>
      </right>
      <top/>
      <bottom style="medium">
        <color rgb="FF18324A"/>
      </bottom>
      <diagonal/>
    </border>
    <border>
      <left style="thin">
        <color rgb="FFFFFFFF"/>
      </left>
      <right style="thin">
        <color rgb="FFFFFFFF"/>
      </right>
      <top/>
      <bottom style="medium">
        <color rgb="FF18324A"/>
      </bottom>
      <diagonal/>
    </border>
    <border>
      <left style="thin">
        <color rgb="FFFFFFFF"/>
      </left>
      <right/>
      <top/>
      <bottom style="medium">
        <color rgb="FF18324A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/>
      <right style="thin">
        <color rgb="FFFFFFFF"/>
      </right>
      <top/>
      <bottom style="thin">
        <color rgb="FFD9E1E8"/>
      </bottom>
      <diagonal/>
    </border>
    <border>
      <left style="thin">
        <color rgb="FFFFFFFF"/>
      </left>
      <right style="thin">
        <color rgb="FFFFFFFF"/>
      </right>
      <top/>
      <bottom style="thin">
        <color rgb="FFD9E1E8"/>
      </bottom>
      <diagonal/>
    </border>
    <border>
      <left/>
      <right style="thin">
        <color rgb="FFFFFFFF"/>
      </right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 style="medium">
        <color rgb="FF18324A"/>
      </bottom>
      <diagonal/>
    </border>
    <border>
      <left/>
      <right style="thin">
        <color rgb="FFFFFFFF"/>
      </right>
      <top style="thin">
        <color rgb="FFD9E1E8"/>
      </top>
      <bottom style="medium">
        <color rgb="FF18324A"/>
      </bottom>
      <diagonal/>
    </border>
    <border>
      <left/>
      <right/>
      <top/>
      <bottom style="medium">
        <color rgb="FF18324A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0" xfId="0" applyFont="1" applyFill="1"/>
    <xf numFmtId="0" fontId="3" fillId="2" borderId="2" xfId="0" applyFont="1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3" fillId="2" borderId="3" xfId="0" applyFont="1" applyFill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/>
    </xf>
    <xf numFmtId="0" fontId="4" fillId="4" borderId="15" xfId="0" applyFont="1" applyFill="1" applyBorder="1" applyAlignment="1">
      <alignment vertical="top" wrapText="1"/>
    </xf>
    <xf numFmtId="164" fontId="4" fillId="4" borderId="13" xfId="0" applyNumberFormat="1" applyFont="1" applyFill="1" applyBorder="1" applyAlignment="1">
      <alignment vertical="top" wrapText="1"/>
    </xf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4" borderId="9" xfId="0" applyFont="1" applyFill="1" applyBorder="1" applyAlignment="1">
      <alignment vertical="top" wrapText="1"/>
    </xf>
    <xf numFmtId="0" fontId="8" fillId="4" borderId="10" xfId="0" applyFont="1" applyFill="1" applyBorder="1" applyAlignment="1">
      <alignment vertical="top" wrapText="1"/>
    </xf>
    <xf numFmtId="0" fontId="9" fillId="5" borderId="8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0" fontId="6" fillId="4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7" fillId="3" borderId="16" xfId="0" applyFont="1" applyFill="1" applyBorder="1" applyAlignment="1">
      <alignment horizontal="center" vertical="center" wrapText="1"/>
    </xf>
    <xf numFmtId="0" fontId="10" fillId="0" borderId="0" xfId="0" applyFont="1"/>
    <xf numFmtId="165" fontId="10" fillId="0" borderId="0" xfId="0" applyNumberFormat="1" applyFont="1"/>
    <xf numFmtId="0" fontId="11" fillId="0" borderId="8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1" fillId="4" borderId="8" xfId="0" applyFont="1" applyFill="1" applyBorder="1" applyAlignment="1">
      <alignment vertical="top" wrapText="1"/>
    </xf>
    <xf numFmtId="164" fontId="11" fillId="4" borderId="8" xfId="0" applyNumberFormat="1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164" fontId="11" fillId="4" borderId="9" xfId="0" applyNumberFormat="1" applyFont="1" applyFill="1" applyBorder="1" applyAlignment="1">
      <alignment vertical="top" wrapText="1"/>
    </xf>
    <xf numFmtId="0" fontId="11" fillId="4" borderId="10" xfId="0" applyFont="1" applyFill="1" applyBorder="1" applyAlignment="1">
      <alignment vertical="top" wrapText="1"/>
    </xf>
    <xf numFmtId="164" fontId="11" fillId="4" borderId="10" xfId="0" applyNumberFormat="1" applyFont="1" applyFill="1" applyBorder="1" applyAlignment="1">
      <alignment vertical="top" wrapText="1"/>
    </xf>
    <xf numFmtId="0" fontId="11" fillId="2" borderId="8" xfId="0" applyFont="1" applyFill="1" applyBorder="1" applyAlignment="1">
      <alignment vertical="top" wrapText="1"/>
    </xf>
    <xf numFmtId="0" fontId="11" fillId="2" borderId="9" xfId="0" applyFont="1" applyFill="1" applyBorder="1" applyAlignment="1">
      <alignment vertical="top" wrapText="1"/>
    </xf>
    <xf numFmtId="0" fontId="11" fillId="2" borderId="10" xfId="0" applyFont="1" applyFill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12" fillId="0" borderId="9" xfId="0" applyFont="1" applyBorder="1" applyAlignment="1">
      <alignment vertical="top" wrapText="1"/>
    </xf>
    <xf numFmtId="0" fontId="12" fillId="0" borderId="10" xfId="0" applyFont="1" applyBorder="1" applyAlignment="1">
      <alignment vertical="top" wrapText="1"/>
    </xf>
    <xf numFmtId="0" fontId="7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9" fontId="13" fillId="2" borderId="0" xfId="0" applyNumberFormat="1" applyFont="1" applyFill="1" applyAlignment="1">
      <alignment horizontal="center"/>
    </xf>
    <xf numFmtId="9" fontId="8" fillId="0" borderId="8" xfId="0" applyNumberFormat="1" applyFont="1" applyBorder="1"/>
    <xf numFmtId="9" fontId="8" fillId="0" borderId="9" xfId="0" applyNumberFormat="1" applyFont="1" applyBorder="1"/>
    <xf numFmtId="9" fontId="8" fillId="0" borderId="10" xfId="0" applyNumberFormat="1" applyFont="1" applyBorder="1"/>
    <xf numFmtId="0" fontId="14" fillId="0" borderId="0" xfId="0" applyFont="1"/>
    <xf numFmtId="0" fontId="14" fillId="0" borderId="1" xfId="0" applyFont="1" applyBorder="1"/>
    <xf numFmtId="1" fontId="14" fillId="0" borderId="0" xfId="0" applyNumberFormat="1" applyFont="1"/>
    <xf numFmtId="0" fontId="1" fillId="0" borderId="0" xfId="0" applyFont="1"/>
    <xf numFmtId="0" fontId="14" fillId="0" borderId="0" xfId="0" applyFont="1"/>
    <xf numFmtId="0" fontId="2" fillId="0" borderId="0" xfId="0" applyFont="1" applyAlignment="1">
      <alignment wrapText="1"/>
    </xf>
    <xf numFmtId="0" fontId="5" fillId="3" borderId="0" xfId="0" applyFont="1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10">
    <dxf>
      <font>
        <b/>
        <color rgb="FF9C6500"/>
      </font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65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FFFFFF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Controls by domain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Controls</c:v>
          </c:tx>
          <c:invertIfNegative val="1"/>
          <c:cat>
            <c:strRef>
              <c:f>Dashboard!$J$10:$J$25</c:f>
              <c:strCache>
                <c:ptCount val="16"/>
                <c:pt idx="0">
                  <c:v>Governance and Risk</c:v>
                </c:pt>
                <c:pt idx="1">
                  <c:v>Asset and Data Management</c:v>
                </c:pt>
                <c:pt idx="2">
                  <c:v>Identity and Access</c:v>
                </c:pt>
                <c:pt idx="3">
                  <c:v>Human Resources Security</c:v>
                </c:pt>
                <c:pt idx="4">
                  <c:v>Physical Security</c:v>
                </c:pt>
                <c:pt idx="5">
                  <c:v>Secure Configuration</c:v>
                </c:pt>
                <c:pt idx="6">
                  <c:v>Vulnerability Management</c:v>
                </c:pt>
                <c:pt idx="7">
                  <c:v>Application Security</c:v>
                </c:pt>
                <c:pt idx="8">
                  <c:v>Logging and Monitoring</c:v>
                </c:pt>
                <c:pt idx="9">
                  <c:v>Incident Response</c:v>
                </c:pt>
                <c:pt idx="10">
                  <c:v>Business Continuity</c:v>
                </c:pt>
                <c:pt idx="11">
                  <c:v>Third-Party Management</c:v>
                </c:pt>
                <c:pt idx="12">
                  <c:v>Privacy</c:v>
                </c:pt>
                <c:pt idx="13">
                  <c:v>Cloud and Infrastructure</c:v>
                </c:pt>
                <c:pt idx="14">
                  <c:v>Endpoint and Network Security</c:v>
                </c:pt>
                <c:pt idx="15">
                  <c:v>Compliance and Assurance</c:v>
                </c:pt>
              </c:strCache>
            </c:strRef>
          </c:cat>
          <c:val>
            <c:numRef>
              <c:f>Dashboard!$K$10:$K$25</c:f>
              <c:numCache>
                <c:formatCode>0</c:formatCode>
                <c:ptCount val="16"/>
                <c:pt idx="0">
                  <c:v>7</c:v>
                </c:pt>
                <c:pt idx="1">
                  <c:v>0</c:v>
                </c:pt>
                <c:pt idx="2">
                  <c:v>7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7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C-B444-A487-9101EE67B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naireTable" displayName="QuestionnaireTable" ref="A5:R107" totalsRowShown="0">
  <tableColumns count="18">
    <tableColumn id="1" xr3:uid="{00000000-0010-0000-0000-000001000000}" name="Control ID"/>
    <tableColumn id="2" xr3:uid="{00000000-0010-0000-0000-000002000000}" name="Domain"/>
    <tableColumn id="3" xr3:uid="{00000000-0010-0000-0000-000003000000}" name="Topic"/>
    <tableColumn id="4" xr3:uid="{00000000-0010-0000-0000-000004000000}" name="Control question"/>
    <tableColumn id="5" xr3:uid="{00000000-0010-0000-0000-000005000000}" name="Response guidance"/>
    <tableColumn id="6" xr3:uid="{00000000-0010-0000-0000-000006000000}" name="Expected evidence"/>
    <tableColumn id="7" xr3:uid="{00000000-0010-0000-0000-000007000000}" name="Weight"/>
    <tableColumn id="8" xr3:uid="{00000000-0010-0000-0000-000008000000}" name="Response"/>
    <tableColumn id="9" xr3:uid="{00000000-0010-0000-0000-000009000000}" name="Vendor comments"/>
    <tableColumn id="10" xr3:uid="{00000000-0010-0000-0000-00000A000000}" name="Evidence ID"/>
    <tableColumn id="11" xr3:uid="{00000000-0010-0000-0000-00000B000000}" name="Owner"/>
    <tableColumn id="12" xr3:uid="{00000000-0010-0000-0000-00000C000000}" name="Due date"/>
    <tableColumn id="13" xr3:uid="{00000000-0010-0000-0000-00000D000000}" name="Workflow status"/>
    <tableColumn id="14" xr3:uid="{00000000-0010-0000-0000-00000E000000}" name="Risk score"/>
    <tableColumn id="15" xr3:uid="{00000000-0010-0000-0000-00000F000000}" name="Maximum score"/>
    <tableColumn id="16" xr3:uid="{00000000-0010-0000-0000-000010000000}" name="Questionnaire pack"/>
    <tableColumn id="17" xr3:uid="{00000000-0010-0000-0000-000011000000}" name="Applicable"/>
    <tableColumn id="18" xr3:uid="{00000000-0010-0000-0000-000012000000}" name="Vendor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Table" displayName="EvidenceTable" ref="A5:J35" totalsRowShown="0">
  <tableColumns count="10">
    <tableColumn id="1" xr3:uid="{00000000-0010-0000-0100-000001000000}" name="Evidence ID"/>
    <tableColumn id="2" xr3:uid="{00000000-0010-0000-0100-000002000000}" name="Evidence request"/>
    <tableColumn id="3" xr3:uid="{00000000-0010-0000-0100-000003000000}" name="Domain"/>
    <tableColumn id="4" xr3:uid="{00000000-0010-0000-0100-000004000000}" name="Required"/>
    <tableColumn id="5" xr3:uid="{00000000-0010-0000-0100-000005000000}" name="Status"/>
    <tableColumn id="6" xr3:uid="{00000000-0010-0000-0100-000006000000}" name="File name or secure link"/>
    <tableColumn id="7" xr3:uid="{00000000-0010-0000-0100-000007000000}" name="Owner"/>
    <tableColumn id="8" xr3:uid="{00000000-0010-0000-0100-000008000000}" name="Due date"/>
    <tableColumn id="9" xr3:uid="{00000000-0010-0000-0100-000009000000}" name="Review status"/>
    <tableColumn id="10" xr3:uid="{00000000-0010-0000-0100-00000A000000}" name="Review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24A"/>
  </sheetPr>
  <dimension ref="A1:G18"/>
  <sheetViews>
    <sheetView showGridLines="0" tabSelected="1" workbookViewId="0">
      <selection sqref="A1:G1"/>
    </sheetView>
  </sheetViews>
  <sheetFormatPr baseColWidth="10" defaultColWidth="8.83203125" defaultRowHeight="14"/>
  <cols>
    <col min="1" max="1" width="25" customWidth="1"/>
    <col min="2" max="2" width="85" customWidth="1"/>
  </cols>
  <sheetData>
    <row r="1" spans="1:7" ht="28" customHeight="1">
      <c r="A1" s="71" t="s">
        <v>0</v>
      </c>
      <c r="B1" s="72"/>
      <c r="C1" s="72"/>
      <c r="D1" s="72"/>
      <c r="E1" s="72"/>
      <c r="F1" s="72"/>
      <c r="G1" s="72"/>
    </row>
    <row r="2" spans="1:7" ht="22" customHeight="1">
      <c r="A2" s="73" t="s">
        <v>1</v>
      </c>
      <c r="B2" s="72"/>
      <c r="C2" s="72"/>
      <c r="D2" s="72"/>
      <c r="E2" s="72"/>
      <c r="F2" s="72"/>
      <c r="G2" s="72"/>
    </row>
    <row r="3" spans="1:7">
      <c r="A3" s="69"/>
      <c r="B3" s="69"/>
      <c r="C3" s="69"/>
      <c r="D3" s="69"/>
      <c r="E3" s="69"/>
      <c r="F3" s="69"/>
      <c r="G3" s="69"/>
    </row>
    <row r="4" spans="1:7">
      <c r="A4" s="68"/>
      <c r="B4" s="68"/>
      <c r="C4" s="68"/>
      <c r="D4" s="68"/>
      <c r="E4" s="68"/>
      <c r="F4" s="68"/>
      <c r="G4" s="68"/>
    </row>
    <row r="5" spans="1:7" ht="38" customHeight="1">
      <c r="A5" s="2" t="s">
        <v>2</v>
      </c>
      <c r="B5" s="3" t="s">
        <v>3</v>
      </c>
      <c r="C5" s="68"/>
      <c r="D5" s="68"/>
      <c r="E5" s="68"/>
      <c r="F5" s="68"/>
      <c r="G5" s="68"/>
    </row>
    <row r="6" spans="1:7" ht="38" customHeight="1">
      <c r="A6" s="4" t="s">
        <v>4</v>
      </c>
      <c r="B6" s="5" t="s">
        <v>5</v>
      </c>
      <c r="C6" s="68"/>
      <c r="D6" s="68"/>
      <c r="E6" s="68"/>
      <c r="F6" s="68"/>
      <c r="G6" s="68"/>
    </row>
    <row r="7" spans="1:7" ht="38" customHeight="1">
      <c r="A7" s="4" t="s">
        <v>6</v>
      </c>
      <c r="B7" s="5" t="s">
        <v>7</v>
      </c>
      <c r="C7" s="68"/>
      <c r="D7" s="68"/>
      <c r="E7" s="68"/>
      <c r="F7" s="68"/>
      <c r="G7" s="68"/>
    </row>
    <row r="8" spans="1:7" ht="38" customHeight="1">
      <c r="A8" s="4" t="s">
        <v>8</v>
      </c>
      <c r="B8" s="5" t="s">
        <v>9</v>
      </c>
      <c r="C8" s="68"/>
      <c r="D8" s="68"/>
      <c r="E8" s="68"/>
      <c r="F8" s="68"/>
      <c r="G8" s="68"/>
    </row>
    <row r="9" spans="1:7" ht="38" customHeight="1">
      <c r="A9" s="4" t="s">
        <v>10</v>
      </c>
      <c r="B9" s="5" t="s">
        <v>11</v>
      </c>
      <c r="C9" s="68"/>
      <c r="D9" s="68"/>
      <c r="E9" s="68"/>
      <c r="F9" s="68"/>
      <c r="G9" s="68"/>
    </row>
    <row r="10" spans="1:7" ht="38" customHeight="1">
      <c r="A10" s="4" t="s">
        <v>12</v>
      </c>
      <c r="B10" s="5" t="s">
        <v>13</v>
      </c>
      <c r="C10" s="68"/>
      <c r="D10" s="68"/>
      <c r="E10" s="68"/>
      <c r="F10" s="68"/>
      <c r="G10" s="68"/>
    </row>
    <row r="11" spans="1:7" ht="38" customHeight="1">
      <c r="A11" s="4" t="s">
        <v>14</v>
      </c>
      <c r="B11" s="5" t="s">
        <v>15</v>
      </c>
      <c r="C11" s="68"/>
      <c r="D11" s="68"/>
      <c r="E11" s="68"/>
      <c r="F11" s="68"/>
      <c r="G11" s="68"/>
    </row>
    <row r="12" spans="1:7" ht="38" customHeight="1">
      <c r="A12" s="4" t="s">
        <v>16</v>
      </c>
      <c r="B12" s="5" t="s">
        <v>17</v>
      </c>
      <c r="C12" s="68"/>
      <c r="D12" s="68"/>
      <c r="E12" s="68"/>
      <c r="F12" s="68"/>
      <c r="G12" s="68"/>
    </row>
    <row r="13" spans="1:7" ht="38" customHeight="1">
      <c r="A13" s="6" t="s">
        <v>18</v>
      </c>
      <c r="B13" s="7" t="s">
        <v>19</v>
      </c>
      <c r="C13" s="68"/>
      <c r="D13" s="68"/>
      <c r="E13" s="68"/>
      <c r="F13" s="68"/>
      <c r="G13" s="68"/>
    </row>
    <row r="14" spans="1:7">
      <c r="A14" s="68"/>
      <c r="B14" s="68"/>
      <c r="C14" s="68"/>
      <c r="D14" s="68"/>
      <c r="E14" s="68"/>
      <c r="F14" s="68"/>
      <c r="G14" s="68"/>
    </row>
    <row r="15" spans="1:7">
      <c r="A15" s="74" t="s">
        <v>20</v>
      </c>
      <c r="B15" s="72"/>
      <c r="C15" s="72"/>
      <c r="D15" s="72"/>
      <c r="E15" s="72"/>
      <c r="F15" s="72"/>
      <c r="G15" s="72"/>
    </row>
    <row r="16" spans="1:7">
      <c r="A16" s="8" t="s">
        <v>21</v>
      </c>
      <c r="B16" s="8" t="s">
        <v>22</v>
      </c>
      <c r="C16" s="68"/>
      <c r="D16" s="68"/>
      <c r="E16" s="68"/>
      <c r="F16" s="68"/>
      <c r="G16" s="68"/>
    </row>
    <row r="17" spans="1:7">
      <c r="A17" s="9" t="s">
        <v>23</v>
      </c>
      <c r="B17" s="9" t="s">
        <v>24</v>
      </c>
      <c r="C17" s="68"/>
      <c r="D17" s="68"/>
      <c r="E17" s="68"/>
      <c r="F17" s="68"/>
      <c r="G17" s="68"/>
    </row>
    <row r="18" spans="1:7">
      <c r="A18" s="10" t="s">
        <v>25</v>
      </c>
      <c r="B18" s="10" t="s">
        <v>26</v>
      </c>
      <c r="C18" s="68"/>
      <c r="D18" s="68"/>
      <c r="E18" s="68"/>
      <c r="F18" s="68"/>
      <c r="G18" s="68"/>
    </row>
  </sheetData>
  <mergeCells count="3">
    <mergeCell ref="A1:G1"/>
    <mergeCell ref="A2:G2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S25"/>
  <sheetViews>
    <sheetView showGridLines="0" workbookViewId="0"/>
  </sheetViews>
  <sheetFormatPr baseColWidth="10" defaultColWidth="8.83203125" defaultRowHeight="14"/>
  <cols>
    <col min="1" max="1" width="29" customWidth="1"/>
    <col min="2" max="3" width="12" customWidth="1"/>
    <col min="4" max="7" width="14" customWidth="1"/>
    <col min="8" max="8" width="16" customWidth="1"/>
    <col min="10" max="11" width="20" customWidth="1"/>
  </cols>
  <sheetData>
    <row r="1" spans="1:19" ht="28" customHeight="1">
      <c r="A1" s="71" t="s">
        <v>27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ht="22" customHeight="1">
      <c r="A2" s="73" t="s">
        <v>28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 spans="1:19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>
      <c r="A5" s="62" t="s">
        <v>29</v>
      </c>
      <c r="B5" s="62" t="s">
        <v>30</v>
      </c>
      <c r="C5" s="68"/>
      <c r="D5" s="62" t="s">
        <v>31</v>
      </c>
      <c r="E5" s="62" t="s">
        <v>32</v>
      </c>
      <c r="F5" s="68"/>
      <c r="G5" s="62" t="s">
        <v>33</v>
      </c>
      <c r="H5" s="62" t="s">
        <v>34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</row>
    <row r="6" spans="1:19" ht="18">
      <c r="A6" s="63">
        <f>COUNTIF(Questionnaire!Q6:Q107,"Yes")</f>
        <v>45</v>
      </c>
      <c r="B6" s="63">
        <f>COUNTIFS(Questionnaire!Q6:Q107,"Yes",Questionnaire!H6:H107,"&lt;&gt;",Questionnaire!H6:H107,"&lt;&gt;Not Answered")</f>
        <v>0</v>
      </c>
      <c r="C6" s="68"/>
      <c r="D6" s="64">
        <f>IF(A6=0,"",B6/A6)</f>
        <v>0</v>
      </c>
      <c r="E6" s="64" t="str">
        <f>IF(SUM(Questionnaire!O6:O107)=0,"",SUM(Questionnaire!N6:N107)/SUM(Questionnaire!O6:O107))</f>
        <v/>
      </c>
      <c r="F6" s="68"/>
      <c r="G6" s="63">
        <f>COUNTIFS(Questionnaire!Q6:Q107,"Yes",Questionnaire!H6:H107,"No")+COUNTIFS(Questionnaire!Q6:Q107,"Yes",Questionnaire!H6:H107,"Partial")</f>
        <v>0</v>
      </c>
      <c r="H6" s="63">
        <f>COUNTIF('Evidence Register'!I6:I35,"Accepted")</f>
        <v>0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</row>
    <row r="7" spans="1:19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</row>
    <row r="8" spans="1:19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</row>
    <row r="9" spans="1:19" ht="30" customHeight="1">
      <c r="A9" s="11" t="s">
        <v>35</v>
      </c>
      <c r="B9" s="12" t="s">
        <v>36</v>
      </c>
      <c r="C9" s="12" t="s">
        <v>37</v>
      </c>
      <c r="D9" s="12" t="s">
        <v>31</v>
      </c>
      <c r="E9" s="12" t="s">
        <v>38</v>
      </c>
      <c r="F9" s="12" t="s">
        <v>39</v>
      </c>
      <c r="G9" s="12" t="s">
        <v>32</v>
      </c>
      <c r="H9" s="13" t="s">
        <v>40</v>
      </c>
      <c r="I9" s="68"/>
      <c r="J9" s="68" t="s">
        <v>35</v>
      </c>
      <c r="K9" s="68" t="s">
        <v>36</v>
      </c>
      <c r="L9" s="68"/>
      <c r="M9" s="68"/>
      <c r="N9" s="68"/>
      <c r="O9" s="68"/>
      <c r="P9" s="68"/>
      <c r="Q9" s="68"/>
      <c r="R9" s="68"/>
      <c r="S9" s="68"/>
    </row>
    <row r="10" spans="1:19">
      <c r="A10" s="23" t="s">
        <v>41</v>
      </c>
      <c r="B10" s="23">
        <f>COUNTIFS(Questionnaire!$B$6:$B$107,A10,Questionnaire!$Q$6:$Q$107,"Yes")</f>
        <v>7</v>
      </c>
      <c r="C10" s="23">
        <f>COUNTIFS(Questionnaire!$B$6:$B$107,A10,Questionnaire!$Q$6:$Q$107,"Yes",Questionnaire!$H$6:$H$107,"&lt;&gt;",Questionnaire!$H$6:$H$107,"&lt;&gt;Not Answered")</f>
        <v>0</v>
      </c>
      <c r="D10" s="65">
        <f t="shared" ref="D10:D25" si="0">IF(B10=0,"",C10/B10)</f>
        <v>0</v>
      </c>
      <c r="E10" s="23">
        <f>SUMIF(Questionnaire!$B$6:$B$107,A10,Questionnaire!$N$6:$N$107)</f>
        <v>0</v>
      </c>
      <c r="F10" s="23">
        <f>SUMIF(Questionnaire!$B$6:$B$107,A10,Questionnaire!$O$6:$O$107)</f>
        <v>0</v>
      </c>
      <c r="G10" s="65" t="str">
        <f t="shared" ref="G10:G25" si="1">IF(F10=0,"",E10/F10)</f>
        <v/>
      </c>
      <c r="H10" s="23" t="str">
        <f t="shared" ref="H10:H25" si="2">IF(G10="","Not rated",IF(G10&lt;0.15,"Low",IF(G10&lt;0.35,"Moderate",IF(G10&lt;0.6,"High","Critical"))))</f>
        <v>Not rated</v>
      </c>
      <c r="I10" s="68"/>
      <c r="J10" s="68" t="str">
        <f t="shared" ref="J10:J25" si="3">A10</f>
        <v>Governance and Risk</v>
      </c>
      <c r="K10" s="70">
        <f t="shared" ref="K10:K25" si="4">B10</f>
        <v>7</v>
      </c>
      <c r="L10" s="68"/>
      <c r="M10" s="68"/>
      <c r="N10" s="68"/>
      <c r="O10" s="68"/>
      <c r="P10" s="68"/>
      <c r="Q10" s="68"/>
      <c r="R10" s="68"/>
      <c r="S10" s="68"/>
    </row>
    <row r="11" spans="1:19">
      <c r="A11" s="24" t="s">
        <v>42</v>
      </c>
      <c r="B11" s="24">
        <f>COUNTIFS(Questionnaire!$B$6:$B$107,A11,Questionnaire!$Q$6:$Q$107,"Yes")</f>
        <v>0</v>
      </c>
      <c r="C11" s="24">
        <f>COUNTIFS(Questionnaire!$B$6:$B$107,A11,Questionnaire!$Q$6:$Q$107,"Yes",Questionnaire!$H$6:$H$107,"&lt;&gt;",Questionnaire!$H$6:$H$107,"&lt;&gt;Not Answered")</f>
        <v>0</v>
      </c>
      <c r="D11" s="66" t="str">
        <f t="shared" si="0"/>
        <v/>
      </c>
      <c r="E11" s="24">
        <f>SUMIF(Questionnaire!$B$6:$B$107,A11,Questionnaire!$N$6:$N$107)</f>
        <v>0</v>
      </c>
      <c r="F11" s="24">
        <f>SUMIF(Questionnaire!$B$6:$B$107,A11,Questionnaire!$O$6:$O$107)</f>
        <v>0</v>
      </c>
      <c r="G11" s="66" t="str">
        <f t="shared" si="1"/>
        <v/>
      </c>
      <c r="H11" s="24" t="str">
        <f t="shared" si="2"/>
        <v>Not rated</v>
      </c>
      <c r="I11" s="68"/>
      <c r="J11" s="68" t="str">
        <f t="shared" si="3"/>
        <v>Asset and Data Management</v>
      </c>
      <c r="K11" s="70">
        <f t="shared" si="4"/>
        <v>0</v>
      </c>
      <c r="L11" s="68"/>
      <c r="M11" s="68"/>
      <c r="N11" s="68"/>
      <c r="O11" s="68"/>
      <c r="P11" s="68"/>
      <c r="Q11" s="68"/>
      <c r="R11" s="68"/>
      <c r="S11" s="68"/>
    </row>
    <row r="12" spans="1:19">
      <c r="A12" s="24" t="s">
        <v>43</v>
      </c>
      <c r="B12" s="24">
        <f>COUNTIFS(Questionnaire!$B$6:$B$107,A12,Questionnaire!$Q$6:$Q$107,"Yes")</f>
        <v>7</v>
      </c>
      <c r="C12" s="24">
        <f>COUNTIFS(Questionnaire!$B$6:$B$107,A12,Questionnaire!$Q$6:$Q$107,"Yes",Questionnaire!$H$6:$H$107,"&lt;&gt;",Questionnaire!$H$6:$H$107,"&lt;&gt;Not Answered")</f>
        <v>0</v>
      </c>
      <c r="D12" s="66">
        <f t="shared" si="0"/>
        <v>0</v>
      </c>
      <c r="E12" s="24">
        <f>SUMIF(Questionnaire!$B$6:$B$107,A12,Questionnaire!$N$6:$N$107)</f>
        <v>0</v>
      </c>
      <c r="F12" s="24">
        <f>SUMIF(Questionnaire!$B$6:$B$107,A12,Questionnaire!$O$6:$O$107)</f>
        <v>0</v>
      </c>
      <c r="G12" s="66" t="str">
        <f t="shared" si="1"/>
        <v/>
      </c>
      <c r="H12" s="24" t="str">
        <f t="shared" si="2"/>
        <v>Not rated</v>
      </c>
      <c r="I12" s="68"/>
      <c r="J12" s="68" t="str">
        <f t="shared" si="3"/>
        <v>Identity and Access</v>
      </c>
      <c r="K12" s="70">
        <f t="shared" si="4"/>
        <v>7</v>
      </c>
      <c r="L12" s="68"/>
      <c r="M12" s="68"/>
      <c r="N12" s="68"/>
      <c r="O12" s="68"/>
      <c r="P12" s="68"/>
      <c r="Q12" s="68"/>
      <c r="R12" s="68"/>
      <c r="S12" s="68"/>
    </row>
    <row r="13" spans="1:19">
      <c r="A13" s="24" t="s">
        <v>44</v>
      </c>
      <c r="B13" s="24">
        <f>COUNTIFS(Questionnaire!$B$6:$B$107,A13,Questionnaire!$Q$6:$Q$107,"Yes")</f>
        <v>6</v>
      </c>
      <c r="C13" s="24">
        <f>COUNTIFS(Questionnaire!$B$6:$B$107,A13,Questionnaire!$Q$6:$Q$107,"Yes",Questionnaire!$H$6:$H$107,"&lt;&gt;",Questionnaire!$H$6:$H$107,"&lt;&gt;Not Answered")</f>
        <v>0</v>
      </c>
      <c r="D13" s="66">
        <f t="shared" si="0"/>
        <v>0</v>
      </c>
      <c r="E13" s="24">
        <f>SUMIF(Questionnaire!$B$6:$B$107,A13,Questionnaire!$N$6:$N$107)</f>
        <v>0</v>
      </c>
      <c r="F13" s="24">
        <f>SUMIF(Questionnaire!$B$6:$B$107,A13,Questionnaire!$O$6:$O$107)</f>
        <v>0</v>
      </c>
      <c r="G13" s="66" t="str">
        <f t="shared" si="1"/>
        <v/>
      </c>
      <c r="H13" s="24" t="str">
        <f t="shared" si="2"/>
        <v>Not rated</v>
      </c>
      <c r="I13" s="68"/>
      <c r="J13" s="68" t="str">
        <f t="shared" si="3"/>
        <v>Human Resources Security</v>
      </c>
      <c r="K13" s="70">
        <f t="shared" si="4"/>
        <v>6</v>
      </c>
      <c r="L13" s="68"/>
      <c r="M13" s="68"/>
      <c r="N13" s="68"/>
      <c r="O13" s="68"/>
      <c r="P13" s="68"/>
      <c r="Q13" s="68"/>
      <c r="R13" s="68"/>
      <c r="S13" s="68"/>
    </row>
    <row r="14" spans="1:19">
      <c r="A14" s="24" t="s">
        <v>45</v>
      </c>
      <c r="B14" s="24">
        <f>COUNTIFS(Questionnaire!$B$6:$B$107,A14,Questionnaire!$Q$6:$Q$107,"Yes")</f>
        <v>0</v>
      </c>
      <c r="C14" s="24">
        <f>COUNTIFS(Questionnaire!$B$6:$B$107,A14,Questionnaire!$Q$6:$Q$107,"Yes",Questionnaire!$H$6:$H$107,"&lt;&gt;",Questionnaire!$H$6:$H$107,"&lt;&gt;Not Answered")</f>
        <v>0</v>
      </c>
      <c r="D14" s="66" t="str">
        <f t="shared" si="0"/>
        <v/>
      </c>
      <c r="E14" s="24">
        <f>SUMIF(Questionnaire!$B$6:$B$107,A14,Questionnaire!$N$6:$N$107)</f>
        <v>0</v>
      </c>
      <c r="F14" s="24">
        <f>SUMIF(Questionnaire!$B$6:$B$107,A14,Questionnaire!$O$6:$O$107)</f>
        <v>0</v>
      </c>
      <c r="G14" s="66" t="str">
        <f t="shared" si="1"/>
        <v/>
      </c>
      <c r="H14" s="24" t="str">
        <f t="shared" si="2"/>
        <v>Not rated</v>
      </c>
      <c r="I14" s="68"/>
      <c r="J14" s="68" t="str">
        <f t="shared" si="3"/>
        <v>Physical Security</v>
      </c>
      <c r="K14" s="70">
        <f t="shared" si="4"/>
        <v>0</v>
      </c>
      <c r="L14" s="68"/>
      <c r="M14" s="68"/>
      <c r="N14" s="68"/>
      <c r="O14" s="68"/>
      <c r="P14" s="68"/>
      <c r="Q14" s="68"/>
      <c r="R14" s="68"/>
      <c r="S14" s="68"/>
    </row>
    <row r="15" spans="1:19">
      <c r="A15" s="24" t="s">
        <v>46</v>
      </c>
      <c r="B15" s="24">
        <f>COUNTIFS(Questionnaire!$B$6:$B$107,A15,Questionnaire!$Q$6:$Q$107,"Yes")</f>
        <v>0</v>
      </c>
      <c r="C15" s="24">
        <f>COUNTIFS(Questionnaire!$B$6:$B$107,A15,Questionnaire!$Q$6:$Q$107,"Yes",Questionnaire!$H$6:$H$107,"&lt;&gt;",Questionnaire!$H$6:$H$107,"&lt;&gt;Not Answered")</f>
        <v>0</v>
      </c>
      <c r="D15" s="66" t="str">
        <f t="shared" si="0"/>
        <v/>
      </c>
      <c r="E15" s="24">
        <f>SUMIF(Questionnaire!$B$6:$B$107,A15,Questionnaire!$N$6:$N$107)</f>
        <v>0</v>
      </c>
      <c r="F15" s="24">
        <f>SUMIF(Questionnaire!$B$6:$B$107,A15,Questionnaire!$O$6:$O$107)</f>
        <v>0</v>
      </c>
      <c r="G15" s="66" t="str">
        <f t="shared" si="1"/>
        <v/>
      </c>
      <c r="H15" s="24" t="str">
        <f t="shared" si="2"/>
        <v>Not rated</v>
      </c>
      <c r="I15" s="68"/>
      <c r="J15" s="68" t="str">
        <f t="shared" si="3"/>
        <v>Secure Configuration</v>
      </c>
      <c r="K15" s="70">
        <f t="shared" si="4"/>
        <v>0</v>
      </c>
      <c r="L15" s="68"/>
      <c r="M15" s="68"/>
      <c r="N15" s="68"/>
      <c r="O15" s="68"/>
      <c r="P15" s="68"/>
      <c r="Q15" s="68"/>
      <c r="R15" s="68"/>
      <c r="S15" s="68"/>
    </row>
    <row r="16" spans="1:19">
      <c r="A16" s="24" t="s">
        <v>47</v>
      </c>
      <c r="B16" s="24">
        <f>COUNTIFS(Questionnaire!$B$6:$B$107,A16,Questionnaire!$Q$6:$Q$107,"Yes")</f>
        <v>7</v>
      </c>
      <c r="C16" s="24">
        <f>COUNTIFS(Questionnaire!$B$6:$B$107,A16,Questionnaire!$Q$6:$Q$107,"Yes",Questionnaire!$H$6:$H$107,"&lt;&gt;",Questionnaire!$H$6:$H$107,"&lt;&gt;Not Answered")</f>
        <v>0</v>
      </c>
      <c r="D16" s="66">
        <f t="shared" si="0"/>
        <v>0</v>
      </c>
      <c r="E16" s="24">
        <f>SUMIF(Questionnaire!$B$6:$B$107,A16,Questionnaire!$N$6:$N$107)</f>
        <v>0</v>
      </c>
      <c r="F16" s="24">
        <f>SUMIF(Questionnaire!$B$6:$B$107,A16,Questionnaire!$O$6:$O$107)</f>
        <v>0</v>
      </c>
      <c r="G16" s="66" t="str">
        <f t="shared" si="1"/>
        <v/>
      </c>
      <c r="H16" s="24" t="str">
        <f t="shared" si="2"/>
        <v>Not rated</v>
      </c>
      <c r="I16" s="68"/>
      <c r="J16" s="68" t="str">
        <f t="shared" si="3"/>
        <v>Vulnerability Management</v>
      </c>
      <c r="K16" s="70">
        <f t="shared" si="4"/>
        <v>7</v>
      </c>
      <c r="L16" s="68"/>
      <c r="M16" s="68"/>
      <c r="N16" s="68"/>
      <c r="O16" s="68"/>
      <c r="P16" s="68"/>
      <c r="Q16" s="68"/>
      <c r="R16" s="68"/>
      <c r="S16" s="68"/>
    </row>
    <row r="17" spans="1:19">
      <c r="A17" s="24" t="s">
        <v>48</v>
      </c>
      <c r="B17" s="24">
        <f>COUNTIFS(Questionnaire!$B$6:$B$107,A17,Questionnaire!$Q$6:$Q$107,"Yes")</f>
        <v>0</v>
      </c>
      <c r="C17" s="24">
        <f>COUNTIFS(Questionnaire!$B$6:$B$107,A17,Questionnaire!$Q$6:$Q$107,"Yes",Questionnaire!$H$6:$H$107,"&lt;&gt;",Questionnaire!$H$6:$H$107,"&lt;&gt;Not Answered")</f>
        <v>0</v>
      </c>
      <c r="D17" s="66" t="str">
        <f t="shared" si="0"/>
        <v/>
      </c>
      <c r="E17" s="24">
        <f>SUMIF(Questionnaire!$B$6:$B$107,A17,Questionnaire!$N$6:$N$107)</f>
        <v>0</v>
      </c>
      <c r="F17" s="24">
        <f>SUMIF(Questionnaire!$B$6:$B$107,A17,Questionnaire!$O$6:$O$107)</f>
        <v>0</v>
      </c>
      <c r="G17" s="66" t="str">
        <f t="shared" si="1"/>
        <v/>
      </c>
      <c r="H17" s="24" t="str">
        <f t="shared" si="2"/>
        <v>Not rated</v>
      </c>
      <c r="I17" s="68"/>
      <c r="J17" s="68" t="str">
        <f t="shared" si="3"/>
        <v>Application Security</v>
      </c>
      <c r="K17" s="70">
        <f t="shared" si="4"/>
        <v>0</v>
      </c>
      <c r="L17" s="68"/>
      <c r="M17" s="68"/>
      <c r="N17" s="68"/>
      <c r="O17" s="68"/>
      <c r="P17" s="68"/>
      <c r="Q17" s="68"/>
      <c r="R17" s="68"/>
      <c r="S17" s="68"/>
    </row>
    <row r="18" spans="1:19">
      <c r="A18" s="24" t="s">
        <v>49</v>
      </c>
      <c r="B18" s="24">
        <f>COUNTIFS(Questionnaire!$B$6:$B$107,A18,Questionnaire!$Q$6:$Q$107,"Yes")</f>
        <v>6</v>
      </c>
      <c r="C18" s="24">
        <f>COUNTIFS(Questionnaire!$B$6:$B$107,A18,Questionnaire!$Q$6:$Q$107,"Yes",Questionnaire!$H$6:$H$107,"&lt;&gt;",Questionnaire!$H$6:$H$107,"&lt;&gt;Not Answered")</f>
        <v>0</v>
      </c>
      <c r="D18" s="66">
        <f t="shared" si="0"/>
        <v>0</v>
      </c>
      <c r="E18" s="24">
        <f>SUMIF(Questionnaire!$B$6:$B$107,A18,Questionnaire!$N$6:$N$107)</f>
        <v>0</v>
      </c>
      <c r="F18" s="24">
        <f>SUMIF(Questionnaire!$B$6:$B$107,A18,Questionnaire!$O$6:$O$107)</f>
        <v>0</v>
      </c>
      <c r="G18" s="66" t="str">
        <f t="shared" si="1"/>
        <v/>
      </c>
      <c r="H18" s="24" t="str">
        <f t="shared" si="2"/>
        <v>Not rated</v>
      </c>
      <c r="I18" s="68"/>
      <c r="J18" s="68" t="str">
        <f t="shared" si="3"/>
        <v>Logging and Monitoring</v>
      </c>
      <c r="K18" s="70">
        <f t="shared" si="4"/>
        <v>6</v>
      </c>
      <c r="L18" s="68"/>
      <c r="M18" s="68"/>
      <c r="N18" s="68"/>
      <c r="O18" s="68"/>
      <c r="P18" s="68"/>
      <c r="Q18" s="68"/>
      <c r="R18" s="68"/>
      <c r="S18" s="68"/>
    </row>
    <row r="19" spans="1:19">
      <c r="A19" s="24" t="s">
        <v>50</v>
      </c>
      <c r="B19" s="24">
        <f>COUNTIFS(Questionnaire!$B$6:$B$107,A19,Questionnaire!$Q$6:$Q$107,"Yes")</f>
        <v>6</v>
      </c>
      <c r="C19" s="24">
        <f>COUNTIFS(Questionnaire!$B$6:$B$107,A19,Questionnaire!$Q$6:$Q$107,"Yes",Questionnaire!$H$6:$H$107,"&lt;&gt;",Questionnaire!$H$6:$H$107,"&lt;&gt;Not Answered")</f>
        <v>0</v>
      </c>
      <c r="D19" s="66">
        <f t="shared" si="0"/>
        <v>0</v>
      </c>
      <c r="E19" s="24">
        <f>SUMIF(Questionnaire!$B$6:$B$107,A19,Questionnaire!$N$6:$N$107)</f>
        <v>0</v>
      </c>
      <c r="F19" s="24">
        <f>SUMIF(Questionnaire!$B$6:$B$107,A19,Questionnaire!$O$6:$O$107)</f>
        <v>0</v>
      </c>
      <c r="G19" s="66" t="str">
        <f t="shared" si="1"/>
        <v/>
      </c>
      <c r="H19" s="24" t="str">
        <f t="shared" si="2"/>
        <v>Not rated</v>
      </c>
      <c r="I19" s="68"/>
      <c r="J19" s="68" t="str">
        <f t="shared" si="3"/>
        <v>Incident Response</v>
      </c>
      <c r="K19" s="70">
        <f t="shared" si="4"/>
        <v>6</v>
      </c>
      <c r="L19" s="68"/>
      <c r="M19" s="68"/>
      <c r="N19" s="68"/>
      <c r="O19" s="68"/>
      <c r="P19" s="68"/>
      <c r="Q19" s="68"/>
      <c r="R19" s="68"/>
      <c r="S19" s="68"/>
    </row>
    <row r="20" spans="1:19">
      <c r="A20" s="24" t="s">
        <v>51</v>
      </c>
      <c r="B20" s="24">
        <f>COUNTIFS(Questionnaire!$B$6:$B$107,A20,Questionnaire!$Q$6:$Q$107,"Yes")</f>
        <v>0</v>
      </c>
      <c r="C20" s="24">
        <f>COUNTIFS(Questionnaire!$B$6:$B$107,A20,Questionnaire!$Q$6:$Q$107,"Yes",Questionnaire!$H$6:$H$107,"&lt;&gt;",Questionnaire!$H$6:$H$107,"&lt;&gt;Not Answered")</f>
        <v>0</v>
      </c>
      <c r="D20" s="66" t="str">
        <f t="shared" si="0"/>
        <v/>
      </c>
      <c r="E20" s="24">
        <f>SUMIF(Questionnaire!$B$6:$B$107,A20,Questionnaire!$N$6:$N$107)</f>
        <v>0</v>
      </c>
      <c r="F20" s="24">
        <f>SUMIF(Questionnaire!$B$6:$B$107,A20,Questionnaire!$O$6:$O$107)</f>
        <v>0</v>
      </c>
      <c r="G20" s="66" t="str">
        <f t="shared" si="1"/>
        <v/>
      </c>
      <c r="H20" s="24" t="str">
        <f t="shared" si="2"/>
        <v>Not rated</v>
      </c>
      <c r="I20" s="68"/>
      <c r="J20" s="68" t="str">
        <f t="shared" si="3"/>
        <v>Business Continuity</v>
      </c>
      <c r="K20" s="70">
        <f t="shared" si="4"/>
        <v>0</v>
      </c>
      <c r="L20" s="68"/>
      <c r="M20" s="68"/>
      <c r="N20" s="68"/>
      <c r="O20" s="68"/>
      <c r="P20" s="68"/>
      <c r="Q20" s="68"/>
      <c r="R20" s="68"/>
      <c r="S20" s="68"/>
    </row>
    <row r="21" spans="1:19">
      <c r="A21" s="24" t="s">
        <v>52</v>
      </c>
      <c r="B21" s="24">
        <f>COUNTIFS(Questionnaire!$B$6:$B$107,A21,Questionnaire!$Q$6:$Q$107,"Yes")</f>
        <v>6</v>
      </c>
      <c r="C21" s="24">
        <f>COUNTIFS(Questionnaire!$B$6:$B$107,A21,Questionnaire!$Q$6:$Q$107,"Yes",Questionnaire!$H$6:$H$107,"&lt;&gt;",Questionnaire!$H$6:$H$107,"&lt;&gt;Not Answered")</f>
        <v>0</v>
      </c>
      <c r="D21" s="66">
        <f t="shared" si="0"/>
        <v>0</v>
      </c>
      <c r="E21" s="24">
        <f>SUMIF(Questionnaire!$B$6:$B$107,A21,Questionnaire!$N$6:$N$107)</f>
        <v>0</v>
      </c>
      <c r="F21" s="24">
        <f>SUMIF(Questionnaire!$B$6:$B$107,A21,Questionnaire!$O$6:$O$107)</f>
        <v>0</v>
      </c>
      <c r="G21" s="66" t="str">
        <f t="shared" si="1"/>
        <v/>
      </c>
      <c r="H21" s="24" t="str">
        <f t="shared" si="2"/>
        <v>Not rated</v>
      </c>
      <c r="I21" s="68"/>
      <c r="J21" s="68" t="str">
        <f t="shared" si="3"/>
        <v>Third-Party Management</v>
      </c>
      <c r="K21" s="70">
        <f t="shared" si="4"/>
        <v>6</v>
      </c>
      <c r="L21" s="68"/>
      <c r="M21" s="68"/>
      <c r="N21" s="68"/>
      <c r="O21" s="68"/>
      <c r="P21" s="68"/>
      <c r="Q21" s="68"/>
      <c r="R21" s="68"/>
      <c r="S21" s="68"/>
    </row>
    <row r="22" spans="1:19">
      <c r="A22" s="24" t="s">
        <v>53</v>
      </c>
      <c r="B22" s="24">
        <f>COUNTIFS(Questionnaire!$B$6:$B$107,A22,Questionnaire!$Q$6:$Q$107,"Yes")</f>
        <v>0</v>
      </c>
      <c r="C22" s="24">
        <f>COUNTIFS(Questionnaire!$B$6:$B$107,A22,Questionnaire!$Q$6:$Q$107,"Yes",Questionnaire!$H$6:$H$107,"&lt;&gt;",Questionnaire!$H$6:$H$107,"&lt;&gt;Not Answered")</f>
        <v>0</v>
      </c>
      <c r="D22" s="66" t="str">
        <f t="shared" si="0"/>
        <v/>
      </c>
      <c r="E22" s="24">
        <f>SUMIF(Questionnaire!$B$6:$B$107,A22,Questionnaire!$N$6:$N$107)</f>
        <v>0</v>
      </c>
      <c r="F22" s="24">
        <f>SUMIF(Questionnaire!$B$6:$B$107,A22,Questionnaire!$O$6:$O$107)</f>
        <v>0</v>
      </c>
      <c r="G22" s="66" t="str">
        <f t="shared" si="1"/>
        <v/>
      </c>
      <c r="H22" s="24" t="str">
        <f t="shared" si="2"/>
        <v>Not rated</v>
      </c>
      <c r="I22" s="68"/>
      <c r="J22" s="68" t="str">
        <f t="shared" si="3"/>
        <v>Privacy</v>
      </c>
      <c r="K22" s="70">
        <f t="shared" si="4"/>
        <v>0</v>
      </c>
      <c r="L22" s="68"/>
      <c r="M22" s="68"/>
      <c r="N22" s="68"/>
      <c r="O22" s="68"/>
      <c r="P22" s="68"/>
      <c r="Q22" s="68"/>
      <c r="R22" s="68"/>
      <c r="S22" s="68"/>
    </row>
    <row r="23" spans="1:19">
      <c r="A23" s="24" t="s">
        <v>54</v>
      </c>
      <c r="B23" s="24">
        <f>COUNTIFS(Questionnaire!$B$6:$B$107,A23,Questionnaire!$Q$6:$Q$107,"Yes")</f>
        <v>0</v>
      </c>
      <c r="C23" s="24">
        <f>COUNTIFS(Questionnaire!$B$6:$B$107,A23,Questionnaire!$Q$6:$Q$107,"Yes",Questionnaire!$H$6:$H$107,"&lt;&gt;",Questionnaire!$H$6:$H$107,"&lt;&gt;Not Answered")</f>
        <v>0</v>
      </c>
      <c r="D23" s="66" t="str">
        <f t="shared" si="0"/>
        <v/>
      </c>
      <c r="E23" s="24">
        <f>SUMIF(Questionnaire!$B$6:$B$107,A23,Questionnaire!$N$6:$N$107)</f>
        <v>0</v>
      </c>
      <c r="F23" s="24">
        <f>SUMIF(Questionnaire!$B$6:$B$107,A23,Questionnaire!$O$6:$O$107)</f>
        <v>0</v>
      </c>
      <c r="G23" s="66" t="str">
        <f t="shared" si="1"/>
        <v/>
      </c>
      <c r="H23" s="24" t="str">
        <f t="shared" si="2"/>
        <v>Not rated</v>
      </c>
      <c r="I23" s="68"/>
      <c r="J23" s="68" t="str">
        <f t="shared" si="3"/>
        <v>Cloud and Infrastructure</v>
      </c>
      <c r="K23" s="70">
        <f t="shared" si="4"/>
        <v>0</v>
      </c>
      <c r="L23" s="68"/>
      <c r="M23" s="68"/>
      <c r="N23" s="68"/>
      <c r="O23" s="68"/>
      <c r="P23" s="68"/>
      <c r="Q23" s="68"/>
      <c r="R23" s="68"/>
      <c r="S23" s="68"/>
    </row>
    <row r="24" spans="1:19">
      <c r="A24" s="24" t="s">
        <v>55</v>
      </c>
      <c r="B24" s="24">
        <f>COUNTIFS(Questionnaire!$B$6:$B$107,A24,Questionnaire!$Q$6:$Q$107,"Yes")</f>
        <v>0</v>
      </c>
      <c r="C24" s="24">
        <f>COUNTIFS(Questionnaire!$B$6:$B$107,A24,Questionnaire!$Q$6:$Q$107,"Yes",Questionnaire!$H$6:$H$107,"&lt;&gt;",Questionnaire!$H$6:$H$107,"&lt;&gt;Not Answered")</f>
        <v>0</v>
      </c>
      <c r="D24" s="66" t="str">
        <f t="shared" si="0"/>
        <v/>
      </c>
      <c r="E24" s="24">
        <f>SUMIF(Questionnaire!$B$6:$B$107,A24,Questionnaire!$N$6:$N$107)</f>
        <v>0</v>
      </c>
      <c r="F24" s="24">
        <f>SUMIF(Questionnaire!$B$6:$B$107,A24,Questionnaire!$O$6:$O$107)</f>
        <v>0</v>
      </c>
      <c r="G24" s="66" t="str">
        <f t="shared" si="1"/>
        <v/>
      </c>
      <c r="H24" s="24" t="str">
        <f t="shared" si="2"/>
        <v>Not rated</v>
      </c>
      <c r="I24" s="68"/>
      <c r="J24" s="68" t="str">
        <f t="shared" si="3"/>
        <v>Endpoint and Network Security</v>
      </c>
      <c r="K24" s="70">
        <f t="shared" si="4"/>
        <v>0</v>
      </c>
      <c r="L24" s="68"/>
      <c r="M24" s="68"/>
      <c r="N24" s="68"/>
      <c r="O24" s="68"/>
      <c r="P24" s="68"/>
      <c r="Q24" s="68"/>
      <c r="R24" s="68"/>
      <c r="S24" s="68"/>
    </row>
    <row r="25" spans="1:19">
      <c r="A25" s="25" t="s">
        <v>56</v>
      </c>
      <c r="B25" s="25">
        <f>COUNTIFS(Questionnaire!$B$6:$B$107,A25,Questionnaire!$Q$6:$Q$107,"Yes")</f>
        <v>0</v>
      </c>
      <c r="C25" s="25">
        <f>COUNTIFS(Questionnaire!$B$6:$B$107,A25,Questionnaire!$Q$6:$Q$107,"Yes",Questionnaire!$H$6:$H$107,"&lt;&gt;",Questionnaire!$H$6:$H$107,"&lt;&gt;Not Answered")</f>
        <v>0</v>
      </c>
      <c r="D25" s="67" t="str">
        <f t="shared" si="0"/>
        <v/>
      </c>
      <c r="E25" s="25">
        <f>SUMIF(Questionnaire!$B$6:$B$107,A25,Questionnaire!$N$6:$N$107)</f>
        <v>0</v>
      </c>
      <c r="F25" s="25">
        <f>SUMIF(Questionnaire!$B$6:$B$107,A25,Questionnaire!$O$6:$O$107)</f>
        <v>0</v>
      </c>
      <c r="G25" s="67" t="str">
        <f t="shared" si="1"/>
        <v/>
      </c>
      <c r="H25" s="25" t="str">
        <f t="shared" si="2"/>
        <v>Not rated</v>
      </c>
      <c r="I25" s="68"/>
      <c r="J25" s="68" t="str">
        <f t="shared" si="3"/>
        <v>Compliance and Assurance</v>
      </c>
      <c r="K25" s="70">
        <f t="shared" si="4"/>
        <v>0</v>
      </c>
      <c r="L25" s="68"/>
      <c r="M25" s="68"/>
      <c r="N25" s="68"/>
      <c r="O25" s="68"/>
      <c r="P25" s="68"/>
      <c r="Q25" s="68"/>
      <c r="R25" s="68"/>
      <c r="S25" s="68"/>
    </row>
  </sheetData>
  <mergeCells count="2">
    <mergeCell ref="A1:S1"/>
    <mergeCell ref="A2:S2"/>
  </mergeCells>
  <conditionalFormatting sqref="G10:G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:H25">
    <cfRule type="containsText" dxfId="9" priority="2" operator="containsText" text="Critical"/>
    <cfRule type="containsText" dxfId="8" priority="3" operator="containsText" text="High"/>
    <cfRule type="containsText" dxfId="7" priority="4" operator="containsText" text="Moderate"/>
    <cfRule type="containsText" dxfId="6" priority="5" operator="containsText" text="Low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690"/>
  </sheetPr>
  <dimension ref="A1:H19"/>
  <sheetViews>
    <sheetView showGridLines="0" workbookViewId="0"/>
  </sheetViews>
  <sheetFormatPr baseColWidth="10" defaultColWidth="8.83203125" defaultRowHeight="14"/>
  <cols>
    <col min="1" max="1" width="29" customWidth="1"/>
    <col min="2" max="2" width="70" customWidth="1"/>
  </cols>
  <sheetData>
    <row r="1" spans="1:8" ht="28" customHeight="1">
      <c r="A1" s="71" t="s">
        <v>57</v>
      </c>
      <c r="B1" s="72"/>
      <c r="C1" s="72"/>
      <c r="D1" s="72"/>
      <c r="E1" s="72"/>
      <c r="F1" s="72"/>
      <c r="G1" s="72"/>
      <c r="H1" s="72"/>
    </row>
    <row r="2" spans="1:8" ht="22" customHeight="1">
      <c r="A2" s="73" t="s">
        <v>58</v>
      </c>
      <c r="B2" s="72"/>
      <c r="C2" s="72"/>
      <c r="D2" s="72"/>
      <c r="E2" s="72"/>
      <c r="F2" s="72"/>
      <c r="G2" s="72"/>
      <c r="H2" s="72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>
      <c r="A4" s="68"/>
      <c r="B4" s="68"/>
      <c r="C4" s="68"/>
      <c r="D4" s="68"/>
      <c r="E4" s="68"/>
      <c r="F4" s="68"/>
      <c r="G4" s="68"/>
      <c r="H4" s="68"/>
    </row>
    <row r="5" spans="1:8" ht="30" customHeight="1">
      <c r="A5" s="17" t="s">
        <v>59</v>
      </c>
      <c r="B5" s="18" t="s">
        <v>60</v>
      </c>
      <c r="C5" s="68"/>
      <c r="D5" s="68"/>
      <c r="E5" s="68"/>
      <c r="F5" s="68"/>
      <c r="G5" s="68"/>
      <c r="H5" s="68"/>
    </row>
    <row r="6" spans="1:8" ht="28" customHeight="1">
      <c r="A6" s="4" t="s">
        <v>61</v>
      </c>
      <c r="B6" s="19"/>
      <c r="C6" s="68"/>
      <c r="D6" s="68"/>
      <c r="E6" s="68"/>
      <c r="F6" s="68"/>
      <c r="G6" s="68"/>
      <c r="H6" s="68"/>
    </row>
    <row r="7" spans="1:8" ht="28" customHeight="1">
      <c r="A7" s="4" t="s">
        <v>62</v>
      </c>
      <c r="B7" s="19"/>
      <c r="C7" s="68"/>
      <c r="D7" s="68"/>
      <c r="E7" s="68"/>
      <c r="F7" s="68"/>
      <c r="G7" s="68"/>
      <c r="H7" s="68"/>
    </row>
    <row r="8" spans="1:8" ht="28" customHeight="1">
      <c r="A8" s="4" t="s">
        <v>63</v>
      </c>
      <c r="B8" s="19"/>
      <c r="C8" s="68"/>
      <c r="D8" s="68"/>
      <c r="E8" s="68"/>
      <c r="F8" s="68"/>
      <c r="G8" s="68"/>
      <c r="H8" s="68"/>
    </row>
    <row r="9" spans="1:8" ht="28" customHeight="1">
      <c r="A9" s="4" t="s">
        <v>64</v>
      </c>
      <c r="B9" s="19"/>
      <c r="C9" s="68"/>
      <c r="D9" s="68"/>
      <c r="E9" s="68"/>
      <c r="F9" s="68"/>
      <c r="G9" s="68"/>
      <c r="H9" s="68"/>
    </row>
    <row r="10" spans="1:8" ht="28" customHeight="1">
      <c r="A10" s="4" t="s">
        <v>65</v>
      </c>
      <c r="B10" s="19"/>
      <c r="C10" s="68"/>
      <c r="D10" s="68"/>
      <c r="E10" s="68"/>
      <c r="F10" s="68"/>
      <c r="G10" s="68"/>
      <c r="H10" s="68"/>
    </row>
    <row r="11" spans="1:8" ht="28" customHeight="1">
      <c r="A11" s="4" t="s">
        <v>66</v>
      </c>
      <c r="B11" s="22"/>
      <c r="C11" s="68"/>
      <c r="D11" s="68"/>
      <c r="E11" s="68"/>
      <c r="F11" s="68"/>
      <c r="G11" s="68"/>
      <c r="H11" s="68"/>
    </row>
    <row r="12" spans="1:8" ht="28" customHeight="1">
      <c r="A12" s="4" t="s">
        <v>67</v>
      </c>
      <c r="B12" s="22"/>
      <c r="C12" s="68"/>
      <c r="D12" s="68"/>
      <c r="E12" s="68"/>
      <c r="F12" s="68"/>
      <c r="G12" s="68"/>
      <c r="H12" s="68"/>
    </row>
    <row r="13" spans="1:8" ht="28" customHeight="1">
      <c r="A13" s="4" t="s">
        <v>68</v>
      </c>
      <c r="B13" s="19"/>
      <c r="C13" s="68"/>
      <c r="D13" s="68"/>
      <c r="E13" s="68"/>
      <c r="F13" s="68"/>
      <c r="G13" s="68"/>
      <c r="H13" s="68"/>
    </row>
    <row r="14" spans="1:8" ht="28" customHeight="1">
      <c r="A14" s="4" t="s">
        <v>69</v>
      </c>
      <c r="B14" s="19"/>
      <c r="C14" s="68"/>
      <c r="D14" s="68"/>
      <c r="E14" s="68"/>
      <c r="F14" s="68"/>
      <c r="G14" s="68"/>
      <c r="H14" s="68"/>
    </row>
    <row r="15" spans="1:8" ht="28" customHeight="1">
      <c r="A15" s="4" t="s">
        <v>70</v>
      </c>
      <c r="B15" s="19"/>
      <c r="C15" s="68"/>
      <c r="D15" s="68"/>
      <c r="E15" s="68"/>
      <c r="F15" s="68"/>
      <c r="G15" s="68"/>
      <c r="H15" s="68"/>
    </row>
    <row r="16" spans="1:8" ht="28" customHeight="1">
      <c r="A16" s="4" t="s">
        <v>71</v>
      </c>
      <c r="B16" s="19"/>
      <c r="C16" s="68"/>
      <c r="D16" s="68"/>
      <c r="E16" s="68"/>
      <c r="F16" s="68"/>
      <c r="G16" s="68"/>
      <c r="H16" s="68"/>
    </row>
    <row r="17" spans="1:8" ht="28" customHeight="1">
      <c r="A17" s="4" t="s">
        <v>72</v>
      </c>
      <c r="B17" s="19"/>
      <c r="C17" s="68"/>
      <c r="D17" s="68"/>
      <c r="E17" s="68"/>
      <c r="F17" s="68"/>
      <c r="G17" s="68"/>
      <c r="H17" s="68"/>
    </row>
    <row r="18" spans="1:8" ht="28" customHeight="1">
      <c r="A18" s="4" t="s">
        <v>73</v>
      </c>
      <c r="B18" s="22"/>
      <c r="C18" s="68"/>
      <c r="D18" s="68"/>
      <c r="E18" s="68"/>
      <c r="F18" s="68"/>
      <c r="G18" s="68"/>
      <c r="H18" s="68"/>
    </row>
    <row r="19" spans="1:8" ht="28" customHeight="1">
      <c r="A19" s="20" t="s">
        <v>74</v>
      </c>
      <c r="B19" s="21" t="s">
        <v>75</v>
      </c>
      <c r="C19" s="68"/>
      <c r="D19" s="68"/>
      <c r="E19" s="68"/>
      <c r="F19" s="68"/>
      <c r="G19" s="68"/>
      <c r="H19" s="68"/>
    </row>
  </sheetData>
  <mergeCells count="2">
    <mergeCell ref="A1:H1"/>
    <mergeCell ref="A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Lists!$C$2:$C$5</xm:f>
          </x14:formula1>
          <xm:sqref>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H19"/>
  <sheetViews>
    <sheetView showGridLines="0" workbookViewId="0"/>
  </sheetViews>
  <sheetFormatPr baseColWidth="10" defaultColWidth="8.83203125" defaultRowHeight="14"/>
  <cols>
    <col min="1" max="1" width="30" customWidth="1"/>
    <col min="2" max="2" width="78" customWidth="1"/>
    <col min="3" max="4" width="18" customWidth="1"/>
    <col min="5" max="5" width="12" customWidth="1"/>
    <col min="6" max="6" width="36" customWidth="1"/>
  </cols>
  <sheetData>
    <row r="1" spans="1:8" ht="28" customHeight="1">
      <c r="A1" s="71" t="s">
        <v>76</v>
      </c>
      <c r="B1" s="72"/>
      <c r="C1" s="72"/>
      <c r="D1" s="72"/>
      <c r="E1" s="72"/>
      <c r="F1" s="72"/>
      <c r="G1" s="72"/>
      <c r="H1" s="72"/>
    </row>
    <row r="2" spans="1:8" ht="22" customHeight="1">
      <c r="A2" s="73" t="s">
        <v>77</v>
      </c>
      <c r="B2" s="72"/>
      <c r="C2" s="72"/>
      <c r="D2" s="72"/>
      <c r="E2" s="72"/>
      <c r="F2" s="72"/>
      <c r="G2" s="72"/>
      <c r="H2" s="72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>
      <c r="A4" s="68"/>
      <c r="B4" s="68"/>
      <c r="C4" s="68"/>
      <c r="D4" s="68"/>
      <c r="E4" s="68"/>
      <c r="F4" s="68"/>
      <c r="G4" s="68"/>
      <c r="H4" s="68"/>
    </row>
    <row r="5" spans="1:8" ht="30" customHeight="1">
      <c r="A5" s="11" t="s">
        <v>78</v>
      </c>
      <c r="B5" s="12" t="s">
        <v>79</v>
      </c>
      <c r="C5" s="12" t="s">
        <v>80</v>
      </c>
      <c r="D5" s="12" t="s">
        <v>81</v>
      </c>
      <c r="E5" s="12" t="s">
        <v>82</v>
      </c>
      <c r="F5" s="13" t="s">
        <v>83</v>
      </c>
      <c r="G5" s="68"/>
      <c r="H5" s="68"/>
    </row>
    <row r="6" spans="1:8" ht="52" customHeight="1">
      <c r="A6" s="26" t="s">
        <v>84</v>
      </c>
      <c r="B6" s="26" t="s">
        <v>85</v>
      </c>
      <c r="C6" s="31" t="s">
        <v>86</v>
      </c>
      <c r="D6" s="32" t="s">
        <v>86</v>
      </c>
      <c r="E6" s="32">
        <v>45</v>
      </c>
      <c r="F6" s="32" t="str">
        <f t="shared" ref="F6:F13" si="0">IF(D6="Yes","Answer this pack",IF(D6="No","Skip this pack","Confirm applicability before answering"))</f>
        <v>Answer this pack</v>
      </c>
      <c r="G6" s="68"/>
      <c r="H6" s="68"/>
    </row>
    <row r="7" spans="1:8" ht="52" customHeight="1">
      <c r="A7" s="27" t="s">
        <v>87</v>
      </c>
      <c r="B7" s="27" t="s">
        <v>88</v>
      </c>
      <c r="C7" s="29" t="s">
        <v>89</v>
      </c>
      <c r="D7" s="33" t="str">
        <f t="shared" ref="D7:D13" si="1">IF(C7="Yes","Yes",IF(C7="No","No","Review"))</f>
        <v>Review</v>
      </c>
      <c r="E7" s="33">
        <v>13</v>
      </c>
      <c r="F7" s="33" t="str">
        <f t="shared" si="0"/>
        <v>Confirm applicability before answering</v>
      </c>
      <c r="G7" s="68"/>
      <c r="H7" s="68"/>
    </row>
    <row r="8" spans="1:8" ht="52" customHeight="1">
      <c r="A8" s="27" t="s">
        <v>90</v>
      </c>
      <c r="B8" s="27" t="s">
        <v>91</v>
      </c>
      <c r="C8" s="29" t="s">
        <v>89</v>
      </c>
      <c r="D8" s="33" t="str">
        <f t="shared" si="1"/>
        <v>Review</v>
      </c>
      <c r="E8" s="33">
        <v>7</v>
      </c>
      <c r="F8" s="33" t="str">
        <f t="shared" si="0"/>
        <v>Confirm applicability before answering</v>
      </c>
      <c r="G8" s="68"/>
      <c r="H8" s="68"/>
    </row>
    <row r="9" spans="1:8" ht="52" customHeight="1">
      <c r="A9" s="27" t="s">
        <v>92</v>
      </c>
      <c r="B9" s="27" t="s">
        <v>93</v>
      </c>
      <c r="C9" s="29" t="s">
        <v>89</v>
      </c>
      <c r="D9" s="33" t="str">
        <f t="shared" si="1"/>
        <v>Review</v>
      </c>
      <c r="E9" s="33">
        <v>13</v>
      </c>
      <c r="F9" s="33" t="str">
        <f t="shared" si="0"/>
        <v>Confirm applicability before answering</v>
      </c>
      <c r="G9" s="68"/>
      <c r="H9" s="68"/>
    </row>
    <row r="10" spans="1:8" ht="52" customHeight="1">
      <c r="A10" s="27" t="s">
        <v>94</v>
      </c>
      <c r="B10" s="27" t="s">
        <v>95</v>
      </c>
      <c r="C10" s="29" t="s">
        <v>89</v>
      </c>
      <c r="D10" s="33" t="str">
        <f t="shared" si="1"/>
        <v>Review</v>
      </c>
      <c r="E10" s="33">
        <v>6</v>
      </c>
      <c r="F10" s="33" t="str">
        <f t="shared" si="0"/>
        <v>Confirm applicability before answering</v>
      </c>
      <c r="G10" s="68"/>
      <c r="H10" s="68"/>
    </row>
    <row r="11" spans="1:8" ht="52" customHeight="1">
      <c r="A11" s="27" t="s">
        <v>96</v>
      </c>
      <c r="B11" s="27" t="s">
        <v>97</v>
      </c>
      <c r="C11" s="29" t="s">
        <v>89</v>
      </c>
      <c r="D11" s="33" t="str">
        <f t="shared" si="1"/>
        <v>Review</v>
      </c>
      <c r="E11" s="33">
        <v>6</v>
      </c>
      <c r="F11" s="33" t="str">
        <f t="shared" si="0"/>
        <v>Confirm applicability before answering</v>
      </c>
      <c r="G11" s="68"/>
      <c r="H11" s="68"/>
    </row>
    <row r="12" spans="1:8" ht="52" customHeight="1">
      <c r="A12" s="27" t="s">
        <v>98</v>
      </c>
      <c r="B12" s="27" t="s">
        <v>99</v>
      </c>
      <c r="C12" s="29" t="s">
        <v>89</v>
      </c>
      <c r="D12" s="33" t="str">
        <f t="shared" si="1"/>
        <v>Review</v>
      </c>
      <c r="E12" s="33">
        <v>6</v>
      </c>
      <c r="F12" s="33" t="str">
        <f t="shared" si="0"/>
        <v>Confirm applicability before answering</v>
      </c>
      <c r="G12" s="68"/>
      <c r="H12" s="68"/>
    </row>
    <row r="13" spans="1:8" ht="52" customHeight="1">
      <c r="A13" s="28" t="s">
        <v>100</v>
      </c>
      <c r="B13" s="28" t="s">
        <v>101</v>
      </c>
      <c r="C13" s="30" t="s">
        <v>89</v>
      </c>
      <c r="D13" s="34" t="str">
        <f t="shared" si="1"/>
        <v>Review</v>
      </c>
      <c r="E13" s="34">
        <v>6</v>
      </c>
      <c r="F13" s="34" t="str">
        <f t="shared" si="0"/>
        <v>Confirm applicability before answering</v>
      </c>
      <c r="G13" s="68"/>
      <c r="H13" s="68"/>
    </row>
    <row r="14" spans="1:8">
      <c r="A14" s="68"/>
      <c r="B14" s="68"/>
      <c r="C14" s="68"/>
      <c r="D14" s="68"/>
      <c r="E14" s="68"/>
      <c r="F14" s="68"/>
      <c r="G14" s="68"/>
      <c r="H14" s="68"/>
    </row>
    <row r="15" spans="1:8">
      <c r="A15" s="68"/>
      <c r="B15" s="68"/>
      <c r="C15" s="68"/>
      <c r="D15" s="68"/>
      <c r="E15" s="68"/>
      <c r="F15" s="68"/>
      <c r="G15" s="68"/>
      <c r="H15" s="68"/>
    </row>
    <row r="16" spans="1:8">
      <c r="A16" s="74" t="s">
        <v>102</v>
      </c>
      <c r="B16" s="72"/>
      <c r="C16" s="72"/>
      <c r="D16" s="72"/>
      <c r="E16" s="72"/>
      <c r="F16" s="72"/>
      <c r="G16" s="68"/>
      <c r="H16" s="68"/>
    </row>
    <row r="17" spans="1:8">
      <c r="A17" s="1" t="s">
        <v>103</v>
      </c>
      <c r="B17" s="75" t="s">
        <v>104</v>
      </c>
      <c r="C17" s="75"/>
      <c r="D17" s="75"/>
      <c r="E17" s="75"/>
      <c r="F17" s="75"/>
      <c r="G17" s="68"/>
      <c r="H17" s="68"/>
    </row>
    <row r="18" spans="1:8">
      <c r="A18" s="1" t="s">
        <v>105</v>
      </c>
      <c r="B18" s="75" t="s">
        <v>106</v>
      </c>
      <c r="C18" s="75"/>
      <c r="D18" s="75"/>
      <c r="E18" s="75"/>
      <c r="F18" s="75"/>
      <c r="G18" s="68"/>
      <c r="H18" s="68"/>
    </row>
    <row r="19" spans="1:8">
      <c r="A19" s="1" t="s">
        <v>107</v>
      </c>
      <c r="B19" s="75" t="s">
        <v>108</v>
      </c>
      <c r="C19" s="75"/>
      <c r="D19" s="75"/>
      <c r="E19" s="75"/>
      <c r="F19" s="75"/>
      <c r="G19" s="68"/>
      <c r="H19" s="68"/>
    </row>
  </sheetData>
  <mergeCells count="6">
    <mergeCell ref="B19:F19"/>
    <mergeCell ref="A1:H1"/>
    <mergeCell ref="A2:H2"/>
    <mergeCell ref="A16:F16"/>
    <mergeCell ref="B17:F17"/>
    <mergeCell ref="B18:F18"/>
  </mergeCells>
  <dataValidations count="1">
    <dataValidation type="list" sqref="C7:C13" xr:uid="{00000000-0002-0000-0300-000000000000}">
      <formula1>"Yes,No,Unknown"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690"/>
  </sheetPr>
  <dimension ref="A1:I20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22" customWidth="1"/>
    <col min="3" max="3" width="62" customWidth="1"/>
    <col min="4" max="4" width="15" customWidth="1"/>
    <col min="5" max="5" width="42" customWidth="1"/>
    <col min="6" max="6" width="10" customWidth="1"/>
    <col min="8" max="9" width="18" customWidth="1"/>
  </cols>
  <sheetData>
    <row r="1" spans="1:9" ht="28" customHeight="1">
      <c r="A1" s="71" t="s">
        <v>109</v>
      </c>
      <c r="B1" s="72"/>
      <c r="C1" s="72"/>
      <c r="D1" s="72"/>
      <c r="E1" s="72"/>
      <c r="F1" s="72"/>
      <c r="G1" s="72"/>
      <c r="H1" s="72"/>
      <c r="I1" s="68"/>
    </row>
    <row r="2" spans="1:9" ht="22" customHeight="1">
      <c r="A2" s="73" t="s">
        <v>110</v>
      </c>
      <c r="B2" s="72"/>
      <c r="C2" s="72"/>
      <c r="D2" s="72"/>
      <c r="E2" s="72"/>
      <c r="F2" s="72"/>
      <c r="G2" s="72"/>
      <c r="H2" s="72"/>
      <c r="I2" s="68"/>
    </row>
    <row r="3" spans="1:9">
      <c r="A3" s="69"/>
      <c r="B3" s="69"/>
      <c r="C3" s="69"/>
      <c r="D3" s="69"/>
      <c r="E3" s="69"/>
      <c r="F3" s="69"/>
      <c r="G3" s="69"/>
      <c r="H3" s="69"/>
      <c r="I3" s="68"/>
    </row>
    <row r="4" spans="1:9">
      <c r="A4" s="68"/>
      <c r="B4" s="68"/>
      <c r="C4" s="68"/>
      <c r="D4" s="68"/>
      <c r="E4" s="68"/>
      <c r="F4" s="68"/>
      <c r="G4" s="68"/>
      <c r="H4" s="68"/>
      <c r="I4" s="68"/>
    </row>
    <row r="5" spans="1:9" ht="30" customHeight="1">
      <c r="A5" s="11" t="s">
        <v>111</v>
      </c>
      <c r="B5" s="12" t="s">
        <v>112</v>
      </c>
      <c r="C5" s="12" t="s">
        <v>113</v>
      </c>
      <c r="D5" s="12" t="s">
        <v>114</v>
      </c>
      <c r="E5" s="12" t="s">
        <v>115</v>
      </c>
      <c r="F5" s="13" t="s">
        <v>116</v>
      </c>
      <c r="G5" s="68"/>
      <c r="H5" s="44" t="s">
        <v>117</v>
      </c>
      <c r="I5" s="68"/>
    </row>
    <row r="6" spans="1:9" ht="28">
      <c r="A6" s="35" t="s">
        <v>118</v>
      </c>
      <c r="B6" s="35" t="s">
        <v>119</v>
      </c>
      <c r="C6" s="35" t="s">
        <v>120</v>
      </c>
      <c r="D6" s="38" t="s">
        <v>89</v>
      </c>
      <c r="E6" s="38"/>
      <c r="F6" s="41">
        <f t="shared" ref="F6:F20" si="0">IF(D6="Low",1,IF(D6="Moderate",2,IF(OR(D6="High",D6="Unknown"),3,"")))</f>
        <v>3</v>
      </c>
      <c r="G6" s="68"/>
      <c r="H6" s="1" t="s">
        <v>121</v>
      </c>
      <c r="I6" s="46">
        <f>AVERAGE(F6:F20)</f>
        <v>3</v>
      </c>
    </row>
    <row r="7" spans="1:9" ht="28">
      <c r="A7" s="36" t="s">
        <v>122</v>
      </c>
      <c r="B7" s="36" t="s">
        <v>123</v>
      </c>
      <c r="C7" s="36" t="s">
        <v>124</v>
      </c>
      <c r="D7" s="39" t="s">
        <v>89</v>
      </c>
      <c r="E7" s="39"/>
      <c r="F7" s="42">
        <f t="shared" si="0"/>
        <v>3</v>
      </c>
      <c r="G7" s="68"/>
      <c r="H7" s="1" t="s">
        <v>125</v>
      </c>
      <c r="I7" s="45" t="str">
        <f>IF(I6&lt;1.5,"Low",IF(I6&lt;2.4,"Moderate","High"))</f>
        <v>High</v>
      </c>
    </row>
    <row r="8" spans="1:9" ht="28">
      <c r="A8" s="36" t="s">
        <v>126</v>
      </c>
      <c r="B8" s="36" t="s">
        <v>127</v>
      </c>
      <c r="C8" s="36" t="s">
        <v>128</v>
      </c>
      <c r="D8" s="39" t="s">
        <v>89</v>
      </c>
      <c r="E8" s="39"/>
      <c r="F8" s="42">
        <f t="shared" si="0"/>
        <v>3</v>
      </c>
      <c r="G8" s="68"/>
      <c r="H8" s="1" t="s">
        <v>129</v>
      </c>
      <c r="I8" s="45">
        <f>COUNTIF(D6:D20,"High")+COUNTIF(D6:D20,"Unknown")</f>
        <v>15</v>
      </c>
    </row>
    <row r="9" spans="1:9" ht="28">
      <c r="A9" s="36" t="s">
        <v>130</v>
      </c>
      <c r="B9" s="36" t="s">
        <v>131</v>
      </c>
      <c r="C9" s="36" t="s">
        <v>132</v>
      </c>
      <c r="D9" s="39" t="s">
        <v>89</v>
      </c>
      <c r="E9" s="39"/>
      <c r="F9" s="42">
        <f t="shared" si="0"/>
        <v>3</v>
      </c>
      <c r="G9" s="68"/>
      <c r="H9" s="68"/>
      <c r="I9" s="68"/>
    </row>
    <row r="10" spans="1:9">
      <c r="A10" s="36" t="s">
        <v>133</v>
      </c>
      <c r="B10" s="36" t="s">
        <v>134</v>
      </c>
      <c r="C10" s="36" t="s">
        <v>135</v>
      </c>
      <c r="D10" s="39" t="s">
        <v>89</v>
      </c>
      <c r="E10" s="39"/>
      <c r="F10" s="42">
        <f t="shared" si="0"/>
        <v>3</v>
      </c>
      <c r="G10" s="68"/>
      <c r="H10" s="68"/>
      <c r="I10" s="68"/>
    </row>
    <row r="11" spans="1:9" ht="28">
      <c r="A11" s="36" t="s">
        <v>136</v>
      </c>
      <c r="B11" s="36" t="s">
        <v>137</v>
      </c>
      <c r="C11" s="36" t="s">
        <v>138</v>
      </c>
      <c r="D11" s="39" t="s">
        <v>89</v>
      </c>
      <c r="E11" s="39"/>
      <c r="F11" s="42">
        <f t="shared" si="0"/>
        <v>3</v>
      </c>
      <c r="G11" s="68"/>
      <c r="H11" s="68"/>
      <c r="I11" s="68"/>
    </row>
    <row r="12" spans="1:9">
      <c r="A12" s="36" t="s">
        <v>139</v>
      </c>
      <c r="B12" s="36" t="s">
        <v>140</v>
      </c>
      <c r="C12" s="36" t="s">
        <v>141</v>
      </c>
      <c r="D12" s="39" t="s">
        <v>89</v>
      </c>
      <c r="E12" s="39"/>
      <c r="F12" s="42">
        <f t="shared" si="0"/>
        <v>3</v>
      </c>
      <c r="G12" s="68"/>
      <c r="H12" s="68"/>
      <c r="I12" s="68"/>
    </row>
    <row r="13" spans="1:9" ht="28">
      <c r="A13" s="36" t="s">
        <v>142</v>
      </c>
      <c r="B13" s="36" t="s">
        <v>143</v>
      </c>
      <c r="C13" s="36" t="s">
        <v>144</v>
      </c>
      <c r="D13" s="39" t="s">
        <v>89</v>
      </c>
      <c r="E13" s="39"/>
      <c r="F13" s="42">
        <f t="shared" si="0"/>
        <v>3</v>
      </c>
      <c r="G13" s="68"/>
      <c r="H13" s="68"/>
      <c r="I13" s="68"/>
    </row>
    <row r="14" spans="1:9" ht="28">
      <c r="A14" s="36" t="s">
        <v>145</v>
      </c>
      <c r="B14" s="36" t="s">
        <v>146</v>
      </c>
      <c r="C14" s="36" t="s">
        <v>147</v>
      </c>
      <c r="D14" s="39" t="s">
        <v>89</v>
      </c>
      <c r="E14" s="39"/>
      <c r="F14" s="42">
        <f t="shared" si="0"/>
        <v>3</v>
      </c>
      <c r="G14" s="68"/>
      <c r="H14" s="68"/>
      <c r="I14" s="68"/>
    </row>
    <row r="15" spans="1:9" ht="28">
      <c r="A15" s="36" t="s">
        <v>148</v>
      </c>
      <c r="B15" s="36" t="s">
        <v>149</v>
      </c>
      <c r="C15" s="36" t="s">
        <v>150</v>
      </c>
      <c r="D15" s="39" t="s">
        <v>89</v>
      </c>
      <c r="E15" s="39"/>
      <c r="F15" s="42">
        <f t="shared" si="0"/>
        <v>3</v>
      </c>
      <c r="G15" s="68"/>
      <c r="H15" s="68"/>
      <c r="I15" s="68"/>
    </row>
    <row r="16" spans="1:9" ht="28">
      <c r="A16" s="36" t="s">
        <v>151</v>
      </c>
      <c r="B16" s="36" t="s">
        <v>152</v>
      </c>
      <c r="C16" s="36" t="s">
        <v>153</v>
      </c>
      <c r="D16" s="39" t="s">
        <v>89</v>
      </c>
      <c r="E16" s="39"/>
      <c r="F16" s="42">
        <f t="shared" si="0"/>
        <v>3</v>
      </c>
      <c r="G16" s="68"/>
      <c r="H16" s="68"/>
      <c r="I16" s="68"/>
    </row>
    <row r="17" spans="1:9">
      <c r="A17" s="36" t="s">
        <v>154</v>
      </c>
      <c r="B17" s="36" t="s">
        <v>155</v>
      </c>
      <c r="C17" s="36" t="s">
        <v>156</v>
      </c>
      <c r="D17" s="39" t="s">
        <v>89</v>
      </c>
      <c r="E17" s="39"/>
      <c r="F17" s="42">
        <f t="shared" si="0"/>
        <v>3</v>
      </c>
      <c r="G17" s="68"/>
      <c r="H17" s="68"/>
      <c r="I17" s="68"/>
    </row>
    <row r="18" spans="1:9" ht="28">
      <c r="A18" s="36" t="s">
        <v>157</v>
      </c>
      <c r="B18" s="36" t="s">
        <v>158</v>
      </c>
      <c r="C18" s="36" t="s">
        <v>159</v>
      </c>
      <c r="D18" s="39" t="s">
        <v>89</v>
      </c>
      <c r="E18" s="39"/>
      <c r="F18" s="42">
        <f t="shared" si="0"/>
        <v>3</v>
      </c>
      <c r="G18" s="68"/>
      <c r="H18" s="68"/>
      <c r="I18" s="68"/>
    </row>
    <row r="19" spans="1:9" ht="28">
      <c r="A19" s="36" t="s">
        <v>160</v>
      </c>
      <c r="B19" s="36" t="s">
        <v>161</v>
      </c>
      <c r="C19" s="36" t="s">
        <v>162</v>
      </c>
      <c r="D19" s="39" t="s">
        <v>89</v>
      </c>
      <c r="E19" s="39"/>
      <c r="F19" s="42">
        <f t="shared" si="0"/>
        <v>3</v>
      </c>
      <c r="G19" s="68"/>
      <c r="H19" s="68"/>
      <c r="I19" s="68"/>
    </row>
    <row r="20" spans="1:9" ht="28">
      <c r="A20" s="37" t="s">
        <v>163</v>
      </c>
      <c r="B20" s="37" t="s">
        <v>164</v>
      </c>
      <c r="C20" s="37" t="s">
        <v>165</v>
      </c>
      <c r="D20" s="40" t="s">
        <v>89</v>
      </c>
      <c r="E20" s="40"/>
      <c r="F20" s="43">
        <f t="shared" si="0"/>
        <v>3</v>
      </c>
      <c r="G20" s="68"/>
      <c r="H20" s="68"/>
      <c r="I20" s="68"/>
    </row>
  </sheetData>
  <mergeCells count="2">
    <mergeCell ref="A1:H1"/>
    <mergeCell ref="A2:H2"/>
  </mergeCells>
  <dataValidations count="1">
    <dataValidation type="list" sqref="D6:D20" xr:uid="{00000000-0002-0000-0400-000000000000}">
      <formula1>"Low,Moderate,High,Unknown"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R10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baseColWidth="10" defaultColWidth="8.83203125" defaultRowHeight="14"/>
  <cols>
    <col min="1" max="1" width="12" customWidth="1"/>
    <col min="2" max="2" width="24" customWidth="1"/>
    <col min="3" max="3" width="21" customWidth="1"/>
    <col min="4" max="4" width="58" customWidth="1"/>
    <col min="5" max="5" width="42" customWidth="1"/>
    <col min="6" max="6" width="32" customWidth="1"/>
    <col min="7" max="7" width="9" customWidth="1"/>
    <col min="8" max="8" width="16" customWidth="1"/>
    <col min="9" max="9" width="45" customWidth="1"/>
    <col min="10" max="11" width="17" customWidth="1"/>
    <col min="12" max="12" width="13" customWidth="1"/>
    <col min="13" max="13" width="18" customWidth="1"/>
    <col min="14" max="15" width="13" customWidth="1"/>
    <col min="16" max="16" width="30" customWidth="1"/>
    <col min="17" max="17" width="13" customWidth="1"/>
    <col min="18" max="18" width="18" customWidth="1"/>
  </cols>
  <sheetData>
    <row r="1" spans="1:18" ht="28" customHeight="1">
      <c r="A1" s="71" t="s">
        <v>166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22" customHeight="1">
      <c r="A2" s="73" t="s">
        <v>167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1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18" ht="24" customHeight="1">
      <c r="A5" s="11" t="s">
        <v>168</v>
      </c>
      <c r="B5" s="12" t="s">
        <v>35</v>
      </c>
      <c r="C5" s="12" t="s">
        <v>169</v>
      </c>
      <c r="D5" s="12" t="s">
        <v>170</v>
      </c>
      <c r="E5" s="12" t="s">
        <v>171</v>
      </c>
      <c r="F5" s="12" t="s">
        <v>172</v>
      </c>
      <c r="G5" s="12" t="s">
        <v>173</v>
      </c>
      <c r="H5" s="12" t="s">
        <v>60</v>
      </c>
      <c r="I5" s="12" t="s">
        <v>174</v>
      </c>
      <c r="J5" s="12" t="s">
        <v>175</v>
      </c>
      <c r="K5" s="12" t="s">
        <v>176</v>
      </c>
      <c r="L5" s="12" t="s">
        <v>177</v>
      </c>
      <c r="M5" s="12" t="s">
        <v>178</v>
      </c>
      <c r="N5" s="12" t="s">
        <v>38</v>
      </c>
      <c r="O5" s="12" t="s">
        <v>179</v>
      </c>
      <c r="P5" s="12" t="s">
        <v>78</v>
      </c>
      <c r="Q5" s="12" t="s">
        <v>180</v>
      </c>
      <c r="R5" s="13" t="s">
        <v>181</v>
      </c>
    </row>
    <row r="6" spans="1:18" ht="108" customHeight="1">
      <c r="A6" s="59" t="s">
        <v>182</v>
      </c>
      <c r="B6" s="47" t="s">
        <v>41</v>
      </c>
      <c r="C6" s="47" t="s">
        <v>183</v>
      </c>
      <c r="D6" s="47" t="s">
        <v>184</v>
      </c>
      <c r="E6" s="47" t="s">
        <v>185</v>
      </c>
      <c r="F6" s="47" t="s">
        <v>186</v>
      </c>
      <c r="G6" s="47">
        <v>4</v>
      </c>
      <c r="H6" s="50" t="s">
        <v>187</v>
      </c>
      <c r="I6" s="50"/>
      <c r="J6" s="50"/>
      <c r="K6" s="50"/>
      <c r="L6" s="51"/>
      <c r="M6" s="50" t="s">
        <v>188</v>
      </c>
      <c r="N6" s="56" t="str">
        <f t="shared" ref="N6:N37" si="0">IF(Q6&lt;&gt;"Yes","",IF(OR(H6="",H6="Not Answered",H6="N/A"),IF(H6="N/A",0,""),IF(H6="Yes",0,IF(H6="Partial",G6*2,IF(H6="No",G6*4,"")))))</f>
        <v/>
      </c>
      <c r="O6" s="56" t="str">
        <f t="shared" ref="O6:O37" si="1">IF(Q6&lt;&gt;"Yes","",IF(OR(H6="",H6="Not Answered",H6="N/A"),"",G6*4))</f>
        <v/>
      </c>
      <c r="P6" s="56" t="s">
        <v>84</v>
      </c>
      <c r="Q6" s="56" t="str">
        <f>IF(P6="Baseline","Yes",IF(VLOOKUP(P6,'Questionnaire Scope'!$A$6:$D$13,4,FALSE)="Yes","Yes",IF(VLOOKUP(P6,'Questionnaire Scope'!$A$6:$D$13,4,FALSE)="No","No","Review")))</f>
        <v>Yes</v>
      </c>
      <c r="R6" s="56" t="str">
        <f t="shared" ref="R6:R37" si="2">IF(Q6="Yes","Answer",IF(Q6="No","Skip","Confirm scope"))</f>
        <v>Answer</v>
      </c>
    </row>
    <row r="7" spans="1:18" ht="108" customHeight="1">
      <c r="A7" s="60" t="s">
        <v>189</v>
      </c>
      <c r="B7" s="48" t="s">
        <v>41</v>
      </c>
      <c r="C7" s="48" t="s">
        <v>190</v>
      </c>
      <c r="D7" s="48" t="s">
        <v>191</v>
      </c>
      <c r="E7" s="48" t="s">
        <v>192</v>
      </c>
      <c r="F7" s="48" t="s">
        <v>193</v>
      </c>
      <c r="G7" s="48">
        <v>4</v>
      </c>
      <c r="H7" s="52" t="s">
        <v>187</v>
      </c>
      <c r="I7" s="52"/>
      <c r="J7" s="52"/>
      <c r="K7" s="52"/>
      <c r="L7" s="53"/>
      <c r="M7" s="52" t="s">
        <v>188</v>
      </c>
      <c r="N7" s="57" t="str">
        <f t="shared" si="0"/>
        <v/>
      </c>
      <c r="O7" s="57" t="str">
        <f t="shared" si="1"/>
        <v/>
      </c>
      <c r="P7" s="57" t="s">
        <v>84</v>
      </c>
      <c r="Q7" s="57" t="str">
        <f>IF(P7="Baseline","Yes",IF(VLOOKUP(P7,'Questionnaire Scope'!$A$6:$D$13,4,FALSE)="Yes","Yes",IF(VLOOKUP(P7,'Questionnaire Scope'!$A$6:$D$13,4,FALSE)="No","No","Review")))</f>
        <v>Yes</v>
      </c>
      <c r="R7" s="57" t="str">
        <f t="shared" si="2"/>
        <v>Answer</v>
      </c>
    </row>
    <row r="8" spans="1:18" ht="97.25" customHeight="1">
      <c r="A8" s="60" t="s">
        <v>194</v>
      </c>
      <c r="B8" s="48" t="s">
        <v>41</v>
      </c>
      <c r="C8" s="48" t="s">
        <v>195</v>
      </c>
      <c r="D8" s="48" t="s">
        <v>196</v>
      </c>
      <c r="E8" s="48" t="s">
        <v>197</v>
      </c>
      <c r="F8" s="48" t="s">
        <v>198</v>
      </c>
      <c r="G8" s="48">
        <v>4</v>
      </c>
      <c r="H8" s="52" t="s">
        <v>187</v>
      </c>
      <c r="I8" s="52"/>
      <c r="J8" s="52"/>
      <c r="K8" s="52"/>
      <c r="L8" s="53"/>
      <c r="M8" s="52" t="s">
        <v>188</v>
      </c>
      <c r="N8" s="57" t="str">
        <f t="shared" si="0"/>
        <v/>
      </c>
      <c r="O8" s="57" t="str">
        <f t="shared" si="1"/>
        <v/>
      </c>
      <c r="P8" s="57" t="s">
        <v>84</v>
      </c>
      <c r="Q8" s="57" t="str">
        <f>IF(P8="Baseline","Yes",IF(VLOOKUP(P8,'Questionnaire Scope'!$A$6:$D$13,4,FALSE)="Yes","Yes",IF(VLOOKUP(P8,'Questionnaire Scope'!$A$6:$D$13,4,FALSE)="No","No","Review")))</f>
        <v>Yes</v>
      </c>
      <c r="R8" s="57" t="str">
        <f t="shared" si="2"/>
        <v>Answer</v>
      </c>
    </row>
    <row r="9" spans="1:18" ht="97.25" customHeight="1">
      <c r="A9" s="60" t="s">
        <v>199</v>
      </c>
      <c r="B9" s="48" t="s">
        <v>41</v>
      </c>
      <c r="C9" s="48" t="s">
        <v>200</v>
      </c>
      <c r="D9" s="48" t="s">
        <v>201</v>
      </c>
      <c r="E9" s="48" t="s">
        <v>202</v>
      </c>
      <c r="F9" s="48" t="s">
        <v>203</v>
      </c>
      <c r="G9" s="48">
        <v>3</v>
      </c>
      <c r="H9" s="52" t="s">
        <v>187</v>
      </c>
      <c r="I9" s="52"/>
      <c r="J9" s="52"/>
      <c r="K9" s="52"/>
      <c r="L9" s="53"/>
      <c r="M9" s="52" t="s">
        <v>188</v>
      </c>
      <c r="N9" s="57" t="str">
        <f t="shared" si="0"/>
        <v/>
      </c>
      <c r="O9" s="57" t="str">
        <f t="shared" si="1"/>
        <v/>
      </c>
      <c r="P9" s="57" t="s">
        <v>84</v>
      </c>
      <c r="Q9" s="57" t="str">
        <f>IF(P9="Baseline","Yes",IF(VLOOKUP(P9,'Questionnaire Scope'!$A$6:$D$13,4,FALSE)="Yes","Yes",IF(VLOOKUP(P9,'Questionnaire Scope'!$A$6:$D$13,4,FALSE)="No","No","Review")))</f>
        <v>Yes</v>
      </c>
      <c r="R9" s="57" t="str">
        <f t="shared" si="2"/>
        <v>Answer</v>
      </c>
    </row>
    <row r="10" spans="1:18" ht="118.75" customHeight="1">
      <c r="A10" s="60" t="s">
        <v>204</v>
      </c>
      <c r="B10" s="48" t="s">
        <v>41</v>
      </c>
      <c r="C10" s="48" t="s">
        <v>205</v>
      </c>
      <c r="D10" s="48" t="s">
        <v>206</v>
      </c>
      <c r="E10" s="48" t="s">
        <v>207</v>
      </c>
      <c r="F10" s="48" t="s">
        <v>208</v>
      </c>
      <c r="G10" s="48">
        <v>3</v>
      </c>
      <c r="H10" s="52" t="s">
        <v>187</v>
      </c>
      <c r="I10" s="52"/>
      <c r="J10" s="52"/>
      <c r="K10" s="52"/>
      <c r="L10" s="53"/>
      <c r="M10" s="52" t="s">
        <v>188</v>
      </c>
      <c r="N10" s="57" t="str">
        <f t="shared" si="0"/>
        <v/>
      </c>
      <c r="O10" s="57" t="str">
        <f t="shared" si="1"/>
        <v/>
      </c>
      <c r="P10" s="57" t="s">
        <v>84</v>
      </c>
      <c r="Q10" s="57" t="str">
        <f>IF(P10="Baseline","Yes",IF(VLOOKUP(P10,'Questionnaire Scope'!$A$6:$D$13,4,FALSE)="Yes","Yes",IF(VLOOKUP(P10,'Questionnaire Scope'!$A$6:$D$13,4,FALSE)="No","No","Review")))</f>
        <v>Yes</v>
      </c>
      <c r="R10" s="57" t="str">
        <f t="shared" si="2"/>
        <v>Answer</v>
      </c>
    </row>
    <row r="11" spans="1:18" ht="129.5" customHeight="1">
      <c r="A11" s="60" t="s">
        <v>209</v>
      </c>
      <c r="B11" s="48" t="s">
        <v>41</v>
      </c>
      <c r="C11" s="48" t="s">
        <v>210</v>
      </c>
      <c r="D11" s="48" t="s">
        <v>211</v>
      </c>
      <c r="E11" s="48" t="s">
        <v>212</v>
      </c>
      <c r="F11" s="48" t="s">
        <v>213</v>
      </c>
      <c r="G11" s="48">
        <v>3</v>
      </c>
      <c r="H11" s="52" t="s">
        <v>187</v>
      </c>
      <c r="I11" s="52"/>
      <c r="J11" s="52"/>
      <c r="K11" s="52"/>
      <c r="L11" s="53"/>
      <c r="M11" s="52" t="s">
        <v>188</v>
      </c>
      <c r="N11" s="57" t="str">
        <f t="shared" si="0"/>
        <v/>
      </c>
      <c r="O11" s="57" t="str">
        <f t="shared" si="1"/>
        <v/>
      </c>
      <c r="P11" s="57" t="s">
        <v>84</v>
      </c>
      <c r="Q11" s="57" t="str">
        <f>IF(P11="Baseline","Yes",IF(VLOOKUP(P11,'Questionnaire Scope'!$A$6:$D$13,4,FALSE)="Yes","Yes",IF(VLOOKUP(P11,'Questionnaire Scope'!$A$6:$D$13,4,FALSE)="No","No","Review")))</f>
        <v>Yes</v>
      </c>
      <c r="R11" s="57" t="str">
        <f t="shared" si="2"/>
        <v>Answer</v>
      </c>
    </row>
    <row r="12" spans="1:18" ht="108" customHeight="1">
      <c r="A12" s="60" t="s">
        <v>214</v>
      </c>
      <c r="B12" s="48" t="s">
        <v>41</v>
      </c>
      <c r="C12" s="48" t="s">
        <v>215</v>
      </c>
      <c r="D12" s="48" t="s">
        <v>216</v>
      </c>
      <c r="E12" s="48" t="s">
        <v>217</v>
      </c>
      <c r="F12" s="48" t="s">
        <v>218</v>
      </c>
      <c r="G12" s="48">
        <v>4</v>
      </c>
      <c r="H12" s="52" t="s">
        <v>187</v>
      </c>
      <c r="I12" s="52"/>
      <c r="J12" s="52"/>
      <c r="K12" s="52"/>
      <c r="L12" s="53"/>
      <c r="M12" s="52" t="s">
        <v>188</v>
      </c>
      <c r="N12" s="57" t="str">
        <f t="shared" si="0"/>
        <v/>
      </c>
      <c r="O12" s="57" t="str">
        <f t="shared" si="1"/>
        <v/>
      </c>
      <c r="P12" s="57" t="s">
        <v>84</v>
      </c>
      <c r="Q12" s="57" t="str">
        <f>IF(P12="Baseline","Yes",IF(VLOOKUP(P12,'Questionnaire Scope'!$A$6:$D$13,4,FALSE)="Yes","Yes",IF(VLOOKUP(P12,'Questionnaire Scope'!$A$6:$D$13,4,FALSE)="No","No","Review")))</f>
        <v>Yes</v>
      </c>
      <c r="R12" s="57" t="str">
        <f t="shared" si="2"/>
        <v>Answer</v>
      </c>
    </row>
    <row r="13" spans="1:18" ht="118.75" customHeight="1">
      <c r="A13" s="60" t="s">
        <v>219</v>
      </c>
      <c r="B13" s="48" t="s">
        <v>42</v>
      </c>
      <c r="C13" s="48" t="s">
        <v>220</v>
      </c>
      <c r="D13" s="48" t="s">
        <v>221</v>
      </c>
      <c r="E13" s="48" t="s">
        <v>222</v>
      </c>
      <c r="F13" s="48" t="s">
        <v>223</v>
      </c>
      <c r="G13" s="48">
        <v>4</v>
      </c>
      <c r="H13" s="52" t="s">
        <v>187</v>
      </c>
      <c r="I13" s="52"/>
      <c r="J13" s="52"/>
      <c r="K13" s="52"/>
      <c r="L13" s="53"/>
      <c r="M13" s="52" t="s">
        <v>188</v>
      </c>
      <c r="N13" s="57" t="str">
        <f t="shared" si="0"/>
        <v/>
      </c>
      <c r="O13" s="57" t="str">
        <f t="shared" si="1"/>
        <v/>
      </c>
      <c r="P13" s="57" t="s">
        <v>87</v>
      </c>
      <c r="Q13" s="57" t="str">
        <f>IF(P13="Baseline","Yes",IF(VLOOKUP(P13,'Questionnaire Scope'!$A$6:$D$13,4,FALSE)="Yes","Yes",IF(VLOOKUP(P13,'Questionnaire Scope'!$A$6:$D$13,4,FALSE)="No","No","Review")))</f>
        <v>Review</v>
      </c>
      <c r="R13" s="57" t="str">
        <f t="shared" si="2"/>
        <v>Confirm scope</v>
      </c>
    </row>
    <row r="14" spans="1:18" ht="151.25" customHeight="1">
      <c r="A14" s="60" t="s">
        <v>224</v>
      </c>
      <c r="B14" s="48" t="s">
        <v>42</v>
      </c>
      <c r="C14" s="48" t="s">
        <v>225</v>
      </c>
      <c r="D14" s="48" t="s">
        <v>226</v>
      </c>
      <c r="E14" s="48" t="s">
        <v>227</v>
      </c>
      <c r="F14" s="48" t="s">
        <v>228</v>
      </c>
      <c r="G14" s="48">
        <v>5</v>
      </c>
      <c r="H14" s="52" t="s">
        <v>187</v>
      </c>
      <c r="I14" s="52"/>
      <c r="J14" s="52"/>
      <c r="K14" s="52"/>
      <c r="L14" s="53"/>
      <c r="M14" s="52" t="s">
        <v>188</v>
      </c>
      <c r="N14" s="57" t="str">
        <f t="shared" si="0"/>
        <v/>
      </c>
      <c r="O14" s="57" t="str">
        <f t="shared" si="1"/>
        <v/>
      </c>
      <c r="P14" s="57" t="s">
        <v>87</v>
      </c>
      <c r="Q14" s="57" t="str">
        <f>IF(P14="Baseline","Yes",IF(VLOOKUP(P14,'Questionnaire Scope'!$A$6:$D$13,4,FALSE)="Yes","Yes",IF(VLOOKUP(P14,'Questionnaire Scope'!$A$6:$D$13,4,FALSE)="No","No","Review")))</f>
        <v>Review</v>
      </c>
      <c r="R14" s="57" t="str">
        <f t="shared" si="2"/>
        <v>Confirm scope</v>
      </c>
    </row>
    <row r="15" spans="1:18" ht="86.5" customHeight="1">
      <c r="A15" s="60" t="s">
        <v>229</v>
      </c>
      <c r="B15" s="48" t="s">
        <v>42</v>
      </c>
      <c r="C15" s="48" t="s">
        <v>230</v>
      </c>
      <c r="D15" s="48" t="s">
        <v>231</v>
      </c>
      <c r="E15" s="48" t="s">
        <v>232</v>
      </c>
      <c r="F15" s="48" t="s">
        <v>233</v>
      </c>
      <c r="G15" s="48">
        <v>4</v>
      </c>
      <c r="H15" s="52" t="s">
        <v>187</v>
      </c>
      <c r="I15" s="52"/>
      <c r="J15" s="52"/>
      <c r="K15" s="52"/>
      <c r="L15" s="53"/>
      <c r="M15" s="52" t="s">
        <v>188</v>
      </c>
      <c r="N15" s="57" t="str">
        <f t="shared" si="0"/>
        <v/>
      </c>
      <c r="O15" s="57" t="str">
        <f t="shared" si="1"/>
        <v/>
      </c>
      <c r="P15" s="57" t="s">
        <v>87</v>
      </c>
      <c r="Q15" s="57" t="str">
        <f>IF(P15="Baseline","Yes",IF(VLOOKUP(P15,'Questionnaire Scope'!$A$6:$D$13,4,FALSE)="Yes","Yes",IF(VLOOKUP(P15,'Questionnaire Scope'!$A$6:$D$13,4,FALSE)="No","No","Review")))</f>
        <v>Review</v>
      </c>
      <c r="R15" s="57" t="str">
        <f t="shared" si="2"/>
        <v>Confirm scope</v>
      </c>
    </row>
    <row r="16" spans="1:18" ht="97.25" customHeight="1">
      <c r="A16" s="60" t="s">
        <v>234</v>
      </c>
      <c r="B16" s="48" t="s">
        <v>42</v>
      </c>
      <c r="C16" s="48" t="s">
        <v>235</v>
      </c>
      <c r="D16" s="48" t="s">
        <v>236</v>
      </c>
      <c r="E16" s="48" t="s">
        <v>237</v>
      </c>
      <c r="F16" s="48" t="s">
        <v>238</v>
      </c>
      <c r="G16" s="48">
        <v>4</v>
      </c>
      <c r="H16" s="52" t="s">
        <v>187</v>
      </c>
      <c r="I16" s="52"/>
      <c r="J16" s="52"/>
      <c r="K16" s="52"/>
      <c r="L16" s="53"/>
      <c r="M16" s="52" t="s">
        <v>188</v>
      </c>
      <c r="N16" s="57" t="str">
        <f t="shared" si="0"/>
        <v/>
      </c>
      <c r="O16" s="57" t="str">
        <f t="shared" si="1"/>
        <v/>
      </c>
      <c r="P16" s="57" t="s">
        <v>87</v>
      </c>
      <c r="Q16" s="57" t="str">
        <f>IF(P16="Baseline","Yes",IF(VLOOKUP(P16,'Questionnaire Scope'!$A$6:$D$13,4,FALSE)="Yes","Yes",IF(VLOOKUP(P16,'Questionnaire Scope'!$A$6:$D$13,4,FALSE)="No","No","Review")))</f>
        <v>Review</v>
      </c>
      <c r="R16" s="57" t="str">
        <f t="shared" si="2"/>
        <v>Confirm scope</v>
      </c>
    </row>
    <row r="17" spans="1:18" ht="140.25" customHeight="1">
      <c r="A17" s="60" t="s">
        <v>239</v>
      </c>
      <c r="B17" s="48" t="s">
        <v>42</v>
      </c>
      <c r="C17" s="48" t="s">
        <v>240</v>
      </c>
      <c r="D17" s="48" t="s">
        <v>241</v>
      </c>
      <c r="E17" s="48" t="s">
        <v>242</v>
      </c>
      <c r="F17" s="48" t="s">
        <v>243</v>
      </c>
      <c r="G17" s="48">
        <v>5</v>
      </c>
      <c r="H17" s="52" t="s">
        <v>187</v>
      </c>
      <c r="I17" s="52"/>
      <c r="J17" s="52"/>
      <c r="K17" s="52"/>
      <c r="L17" s="53"/>
      <c r="M17" s="52" t="s">
        <v>188</v>
      </c>
      <c r="N17" s="57" t="str">
        <f t="shared" si="0"/>
        <v/>
      </c>
      <c r="O17" s="57" t="str">
        <f t="shared" si="1"/>
        <v/>
      </c>
      <c r="P17" s="57" t="s">
        <v>87</v>
      </c>
      <c r="Q17" s="57" t="str">
        <f>IF(P17="Baseline","Yes",IF(VLOOKUP(P17,'Questionnaire Scope'!$A$6:$D$13,4,FALSE)="Yes","Yes",IF(VLOOKUP(P17,'Questionnaire Scope'!$A$6:$D$13,4,FALSE)="No","No","Review")))</f>
        <v>Review</v>
      </c>
      <c r="R17" s="57" t="str">
        <f t="shared" si="2"/>
        <v>Confirm scope</v>
      </c>
    </row>
    <row r="18" spans="1:18" ht="108" customHeight="1">
      <c r="A18" s="60" t="s">
        <v>244</v>
      </c>
      <c r="B18" s="48" t="s">
        <v>42</v>
      </c>
      <c r="C18" s="48" t="s">
        <v>245</v>
      </c>
      <c r="D18" s="48" t="s">
        <v>246</v>
      </c>
      <c r="E18" s="48" t="s">
        <v>247</v>
      </c>
      <c r="F18" s="48" t="s">
        <v>248</v>
      </c>
      <c r="G18" s="48">
        <v>4</v>
      </c>
      <c r="H18" s="52" t="s">
        <v>187</v>
      </c>
      <c r="I18" s="52"/>
      <c r="J18" s="52"/>
      <c r="K18" s="52"/>
      <c r="L18" s="53"/>
      <c r="M18" s="52" t="s">
        <v>188</v>
      </c>
      <c r="N18" s="57" t="str">
        <f t="shared" si="0"/>
        <v/>
      </c>
      <c r="O18" s="57" t="str">
        <f t="shared" si="1"/>
        <v/>
      </c>
      <c r="P18" s="57" t="s">
        <v>87</v>
      </c>
      <c r="Q18" s="57" t="str">
        <f>IF(P18="Baseline","Yes",IF(VLOOKUP(P18,'Questionnaire Scope'!$A$6:$D$13,4,FALSE)="Yes","Yes",IF(VLOOKUP(P18,'Questionnaire Scope'!$A$6:$D$13,4,FALSE)="No","No","Review")))</f>
        <v>Review</v>
      </c>
      <c r="R18" s="57" t="str">
        <f t="shared" si="2"/>
        <v>Confirm scope</v>
      </c>
    </row>
    <row r="19" spans="1:18" ht="86.5" customHeight="1">
      <c r="A19" s="60" t="s">
        <v>249</v>
      </c>
      <c r="B19" s="48" t="s">
        <v>43</v>
      </c>
      <c r="C19" s="48" t="s">
        <v>250</v>
      </c>
      <c r="D19" s="48" t="s">
        <v>251</v>
      </c>
      <c r="E19" s="48" t="s">
        <v>252</v>
      </c>
      <c r="F19" s="48" t="s">
        <v>253</v>
      </c>
      <c r="G19" s="48">
        <v>5</v>
      </c>
      <c r="H19" s="52" t="s">
        <v>187</v>
      </c>
      <c r="I19" s="52"/>
      <c r="J19" s="52"/>
      <c r="K19" s="52"/>
      <c r="L19" s="53"/>
      <c r="M19" s="52" t="s">
        <v>188</v>
      </c>
      <c r="N19" s="57" t="str">
        <f t="shared" si="0"/>
        <v/>
      </c>
      <c r="O19" s="57" t="str">
        <f t="shared" si="1"/>
        <v/>
      </c>
      <c r="P19" s="57" t="s">
        <v>84</v>
      </c>
      <c r="Q19" s="57" t="str">
        <f>IF(P19="Baseline","Yes",IF(VLOOKUP(P19,'Questionnaire Scope'!$A$6:$D$13,4,FALSE)="Yes","Yes",IF(VLOOKUP(P19,'Questionnaire Scope'!$A$6:$D$13,4,FALSE)="No","No","Review")))</f>
        <v>Yes</v>
      </c>
      <c r="R19" s="57" t="str">
        <f t="shared" si="2"/>
        <v>Answer</v>
      </c>
    </row>
    <row r="20" spans="1:18" ht="97.25" customHeight="1">
      <c r="A20" s="60" t="s">
        <v>254</v>
      </c>
      <c r="B20" s="48" t="s">
        <v>43</v>
      </c>
      <c r="C20" s="48" t="s">
        <v>255</v>
      </c>
      <c r="D20" s="48" t="s">
        <v>256</v>
      </c>
      <c r="E20" s="48" t="s">
        <v>257</v>
      </c>
      <c r="F20" s="48" t="s">
        <v>258</v>
      </c>
      <c r="G20" s="48">
        <v>5</v>
      </c>
      <c r="H20" s="52" t="s">
        <v>187</v>
      </c>
      <c r="I20" s="52"/>
      <c r="J20" s="52"/>
      <c r="K20" s="52"/>
      <c r="L20" s="53"/>
      <c r="M20" s="52" t="s">
        <v>188</v>
      </c>
      <c r="N20" s="57" t="str">
        <f t="shared" si="0"/>
        <v/>
      </c>
      <c r="O20" s="57" t="str">
        <f t="shared" si="1"/>
        <v/>
      </c>
      <c r="P20" s="57" t="s">
        <v>84</v>
      </c>
      <c r="Q20" s="57" t="str">
        <f>IF(P20="Baseline","Yes",IF(VLOOKUP(P20,'Questionnaire Scope'!$A$6:$D$13,4,FALSE)="Yes","Yes",IF(VLOOKUP(P20,'Questionnaire Scope'!$A$6:$D$13,4,FALSE)="No","No","Review")))</f>
        <v>Yes</v>
      </c>
      <c r="R20" s="57" t="str">
        <f t="shared" si="2"/>
        <v>Answer</v>
      </c>
    </row>
    <row r="21" spans="1:18" ht="129.5" customHeight="1">
      <c r="A21" s="60" t="s">
        <v>259</v>
      </c>
      <c r="B21" s="48" t="s">
        <v>43</v>
      </c>
      <c r="C21" s="48" t="s">
        <v>260</v>
      </c>
      <c r="D21" s="48" t="s">
        <v>261</v>
      </c>
      <c r="E21" s="48" t="s">
        <v>262</v>
      </c>
      <c r="F21" s="48" t="s">
        <v>263</v>
      </c>
      <c r="G21" s="48">
        <v>5</v>
      </c>
      <c r="H21" s="52" t="s">
        <v>187</v>
      </c>
      <c r="I21" s="52"/>
      <c r="J21" s="52"/>
      <c r="K21" s="52"/>
      <c r="L21" s="53"/>
      <c r="M21" s="52" t="s">
        <v>188</v>
      </c>
      <c r="N21" s="57" t="str">
        <f t="shared" si="0"/>
        <v/>
      </c>
      <c r="O21" s="57" t="str">
        <f t="shared" si="1"/>
        <v/>
      </c>
      <c r="P21" s="57" t="s">
        <v>84</v>
      </c>
      <c r="Q21" s="57" t="str">
        <f>IF(P21="Baseline","Yes",IF(VLOOKUP(P21,'Questionnaire Scope'!$A$6:$D$13,4,FALSE)="Yes","Yes",IF(VLOOKUP(P21,'Questionnaire Scope'!$A$6:$D$13,4,FALSE)="No","No","Review")))</f>
        <v>Yes</v>
      </c>
      <c r="R21" s="57" t="str">
        <f t="shared" si="2"/>
        <v>Answer</v>
      </c>
    </row>
    <row r="22" spans="1:18" ht="97.25" customHeight="1">
      <c r="A22" s="60" t="s">
        <v>264</v>
      </c>
      <c r="B22" s="48" t="s">
        <v>43</v>
      </c>
      <c r="C22" s="48" t="s">
        <v>265</v>
      </c>
      <c r="D22" s="48" t="s">
        <v>266</v>
      </c>
      <c r="E22" s="48" t="s">
        <v>267</v>
      </c>
      <c r="F22" s="48" t="s">
        <v>268</v>
      </c>
      <c r="G22" s="48">
        <v>5</v>
      </c>
      <c r="H22" s="52" t="s">
        <v>187</v>
      </c>
      <c r="I22" s="52"/>
      <c r="J22" s="52"/>
      <c r="K22" s="52"/>
      <c r="L22" s="53"/>
      <c r="M22" s="52" t="s">
        <v>188</v>
      </c>
      <c r="N22" s="57" t="str">
        <f t="shared" si="0"/>
        <v/>
      </c>
      <c r="O22" s="57" t="str">
        <f t="shared" si="1"/>
        <v/>
      </c>
      <c r="P22" s="57" t="s">
        <v>84</v>
      </c>
      <c r="Q22" s="57" t="str">
        <f>IF(P22="Baseline","Yes",IF(VLOOKUP(P22,'Questionnaire Scope'!$A$6:$D$13,4,FALSE)="Yes","Yes",IF(VLOOKUP(P22,'Questionnaire Scope'!$A$6:$D$13,4,FALSE)="No","No","Review")))</f>
        <v>Yes</v>
      </c>
      <c r="R22" s="57" t="str">
        <f t="shared" si="2"/>
        <v>Answer</v>
      </c>
    </row>
    <row r="23" spans="1:18" ht="108" customHeight="1">
      <c r="A23" s="60" t="s">
        <v>269</v>
      </c>
      <c r="B23" s="48" t="s">
        <v>43</v>
      </c>
      <c r="C23" s="48" t="s">
        <v>131</v>
      </c>
      <c r="D23" s="48" t="s">
        <v>270</v>
      </c>
      <c r="E23" s="48" t="s">
        <v>271</v>
      </c>
      <c r="F23" s="48" t="s">
        <v>272</v>
      </c>
      <c r="G23" s="48">
        <v>5</v>
      </c>
      <c r="H23" s="52" t="s">
        <v>187</v>
      </c>
      <c r="I23" s="52"/>
      <c r="J23" s="52"/>
      <c r="K23" s="52"/>
      <c r="L23" s="53"/>
      <c r="M23" s="52" t="s">
        <v>188</v>
      </c>
      <c r="N23" s="57" t="str">
        <f t="shared" si="0"/>
        <v/>
      </c>
      <c r="O23" s="57" t="str">
        <f t="shared" si="1"/>
        <v/>
      </c>
      <c r="P23" s="57" t="s">
        <v>84</v>
      </c>
      <c r="Q23" s="57" t="str">
        <f>IF(P23="Baseline","Yes",IF(VLOOKUP(P23,'Questionnaire Scope'!$A$6:$D$13,4,FALSE)="Yes","Yes",IF(VLOOKUP(P23,'Questionnaire Scope'!$A$6:$D$13,4,FALSE)="No","No","Review")))</f>
        <v>Yes</v>
      </c>
      <c r="R23" s="57" t="str">
        <f t="shared" si="2"/>
        <v>Answer</v>
      </c>
    </row>
    <row r="24" spans="1:18" ht="129.5" customHeight="1">
      <c r="A24" s="60" t="s">
        <v>273</v>
      </c>
      <c r="B24" s="48" t="s">
        <v>43</v>
      </c>
      <c r="C24" s="48" t="s">
        <v>274</v>
      </c>
      <c r="D24" s="48" t="s">
        <v>275</v>
      </c>
      <c r="E24" s="48" t="s">
        <v>276</v>
      </c>
      <c r="F24" s="48" t="s">
        <v>277</v>
      </c>
      <c r="G24" s="48">
        <v>4</v>
      </c>
      <c r="H24" s="52" t="s">
        <v>187</v>
      </c>
      <c r="I24" s="52"/>
      <c r="J24" s="52"/>
      <c r="K24" s="52"/>
      <c r="L24" s="53"/>
      <c r="M24" s="52" t="s">
        <v>188</v>
      </c>
      <c r="N24" s="57" t="str">
        <f t="shared" si="0"/>
        <v/>
      </c>
      <c r="O24" s="57" t="str">
        <f t="shared" si="1"/>
        <v/>
      </c>
      <c r="P24" s="57" t="s">
        <v>84</v>
      </c>
      <c r="Q24" s="57" t="str">
        <f>IF(P24="Baseline","Yes",IF(VLOOKUP(P24,'Questionnaire Scope'!$A$6:$D$13,4,FALSE)="Yes","Yes",IF(VLOOKUP(P24,'Questionnaire Scope'!$A$6:$D$13,4,FALSE)="No","No","Review")))</f>
        <v>Yes</v>
      </c>
      <c r="R24" s="57" t="str">
        <f t="shared" si="2"/>
        <v>Answer</v>
      </c>
    </row>
    <row r="25" spans="1:18" ht="97.25" customHeight="1">
      <c r="A25" s="60" t="s">
        <v>278</v>
      </c>
      <c r="B25" s="48" t="s">
        <v>43</v>
      </c>
      <c r="C25" s="48" t="s">
        <v>279</v>
      </c>
      <c r="D25" s="48" t="s">
        <v>280</v>
      </c>
      <c r="E25" s="48" t="s">
        <v>281</v>
      </c>
      <c r="F25" s="48" t="s">
        <v>282</v>
      </c>
      <c r="G25" s="48">
        <v>4</v>
      </c>
      <c r="H25" s="52" t="s">
        <v>187</v>
      </c>
      <c r="I25" s="52"/>
      <c r="J25" s="52"/>
      <c r="K25" s="52"/>
      <c r="L25" s="53"/>
      <c r="M25" s="52" t="s">
        <v>188</v>
      </c>
      <c r="N25" s="57" t="str">
        <f t="shared" si="0"/>
        <v/>
      </c>
      <c r="O25" s="57" t="str">
        <f t="shared" si="1"/>
        <v/>
      </c>
      <c r="P25" s="57" t="s">
        <v>84</v>
      </c>
      <c r="Q25" s="57" t="str">
        <f>IF(P25="Baseline","Yes",IF(VLOOKUP(P25,'Questionnaire Scope'!$A$6:$D$13,4,FALSE)="Yes","Yes",IF(VLOOKUP(P25,'Questionnaire Scope'!$A$6:$D$13,4,FALSE)="No","No","Review")))</f>
        <v>Yes</v>
      </c>
      <c r="R25" s="57" t="str">
        <f t="shared" si="2"/>
        <v>Answer</v>
      </c>
    </row>
    <row r="26" spans="1:18" ht="129.5" customHeight="1">
      <c r="A26" s="60" t="s">
        <v>283</v>
      </c>
      <c r="B26" s="48" t="s">
        <v>44</v>
      </c>
      <c r="C26" s="48" t="s">
        <v>284</v>
      </c>
      <c r="D26" s="48" t="s">
        <v>285</v>
      </c>
      <c r="E26" s="48" t="s">
        <v>286</v>
      </c>
      <c r="F26" s="48" t="s">
        <v>287</v>
      </c>
      <c r="G26" s="48">
        <v>3</v>
      </c>
      <c r="H26" s="52" t="s">
        <v>187</v>
      </c>
      <c r="I26" s="52"/>
      <c r="J26" s="52"/>
      <c r="K26" s="52"/>
      <c r="L26" s="53"/>
      <c r="M26" s="52" t="s">
        <v>188</v>
      </c>
      <c r="N26" s="57" t="str">
        <f t="shared" si="0"/>
        <v/>
      </c>
      <c r="O26" s="57" t="str">
        <f t="shared" si="1"/>
        <v/>
      </c>
      <c r="P26" s="57" t="s">
        <v>84</v>
      </c>
      <c r="Q26" s="57" t="str">
        <f>IF(P26="Baseline","Yes",IF(VLOOKUP(P26,'Questionnaire Scope'!$A$6:$D$13,4,FALSE)="Yes","Yes",IF(VLOOKUP(P26,'Questionnaire Scope'!$A$6:$D$13,4,FALSE)="No","No","Review")))</f>
        <v>Yes</v>
      </c>
      <c r="R26" s="57" t="str">
        <f t="shared" si="2"/>
        <v>Answer</v>
      </c>
    </row>
    <row r="27" spans="1:18" ht="129.5" customHeight="1">
      <c r="A27" s="60" t="s">
        <v>288</v>
      </c>
      <c r="B27" s="48" t="s">
        <v>44</v>
      </c>
      <c r="C27" s="48" t="s">
        <v>289</v>
      </c>
      <c r="D27" s="48" t="s">
        <v>290</v>
      </c>
      <c r="E27" s="48" t="s">
        <v>291</v>
      </c>
      <c r="F27" s="48" t="s">
        <v>292</v>
      </c>
      <c r="G27" s="48">
        <v>3</v>
      </c>
      <c r="H27" s="52" t="s">
        <v>187</v>
      </c>
      <c r="I27" s="52"/>
      <c r="J27" s="52"/>
      <c r="K27" s="52"/>
      <c r="L27" s="53"/>
      <c r="M27" s="52" t="s">
        <v>188</v>
      </c>
      <c r="N27" s="57" t="str">
        <f t="shared" si="0"/>
        <v/>
      </c>
      <c r="O27" s="57" t="str">
        <f t="shared" si="1"/>
        <v/>
      </c>
      <c r="P27" s="57" t="s">
        <v>84</v>
      </c>
      <c r="Q27" s="57" t="str">
        <f>IF(P27="Baseline","Yes",IF(VLOOKUP(P27,'Questionnaire Scope'!$A$6:$D$13,4,FALSE)="Yes","Yes",IF(VLOOKUP(P27,'Questionnaire Scope'!$A$6:$D$13,4,FALSE)="No","No","Review")))</f>
        <v>Yes</v>
      </c>
      <c r="R27" s="57" t="str">
        <f t="shared" si="2"/>
        <v>Answer</v>
      </c>
    </row>
    <row r="28" spans="1:18" ht="97.25" customHeight="1">
      <c r="A28" s="60" t="s">
        <v>293</v>
      </c>
      <c r="B28" s="48" t="s">
        <v>44</v>
      </c>
      <c r="C28" s="48" t="s">
        <v>294</v>
      </c>
      <c r="D28" s="48" t="s">
        <v>295</v>
      </c>
      <c r="E28" s="48" t="s">
        <v>296</v>
      </c>
      <c r="F28" s="48" t="s">
        <v>297</v>
      </c>
      <c r="G28" s="48">
        <v>4</v>
      </c>
      <c r="H28" s="52" t="s">
        <v>187</v>
      </c>
      <c r="I28" s="52"/>
      <c r="J28" s="52"/>
      <c r="K28" s="52"/>
      <c r="L28" s="53"/>
      <c r="M28" s="52" t="s">
        <v>188</v>
      </c>
      <c r="N28" s="57" t="str">
        <f t="shared" si="0"/>
        <v/>
      </c>
      <c r="O28" s="57" t="str">
        <f t="shared" si="1"/>
        <v/>
      </c>
      <c r="P28" s="57" t="s">
        <v>84</v>
      </c>
      <c r="Q28" s="57" t="str">
        <f>IF(P28="Baseline","Yes",IF(VLOOKUP(P28,'Questionnaire Scope'!$A$6:$D$13,4,FALSE)="Yes","Yes",IF(VLOOKUP(P28,'Questionnaire Scope'!$A$6:$D$13,4,FALSE)="No","No","Review")))</f>
        <v>Yes</v>
      </c>
      <c r="R28" s="57" t="str">
        <f t="shared" si="2"/>
        <v>Answer</v>
      </c>
    </row>
    <row r="29" spans="1:18" ht="140.25" customHeight="1">
      <c r="A29" s="60" t="s">
        <v>298</v>
      </c>
      <c r="B29" s="48" t="s">
        <v>44</v>
      </c>
      <c r="C29" s="48" t="s">
        <v>299</v>
      </c>
      <c r="D29" s="48" t="s">
        <v>300</v>
      </c>
      <c r="E29" s="48" t="s">
        <v>301</v>
      </c>
      <c r="F29" s="48" t="s">
        <v>302</v>
      </c>
      <c r="G29" s="48">
        <v>3</v>
      </c>
      <c r="H29" s="52" t="s">
        <v>187</v>
      </c>
      <c r="I29" s="52"/>
      <c r="J29" s="52"/>
      <c r="K29" s="52"/>
      <c r="L29" s="53"/>
      <c r="M29" s="52" t="s">
        <v>188</v>
      </c>
      <c r="N29" s="57" t="str">
        <f t="shared" si="0"/>
        <v/>
      </c>
      <c r="O29" s="57" t="str">
        <f t="shared" si="1"/>
        <v/>
      </c>
      <c r="P29" s="57" t="s">
        <v>84</v>
      </c>
      <c r="Q29" s="57" t="str">
        <f>IF(P29="Baseline","Yes",IF(VLOOKUP(P29,'Questionnaire Scope'!$A$6:$D$13,4,FALSE)="Yes","Yes",IF(VLOOKUP(P29,'Questionnaire Scope'!$A$6:$D$13,4,FALSE)="No","No","Review")))</f>
        <v>Yes</v>
      </c>
      <c r="R29" s="57" t="str">
        <f t="shared" si="2"/>
        <v>Answer</v>
      </c>
    </row>
    <row r="30" spans="1:18" ht="108" customHeight="1">
      <c r="A30" s="60" t="s">
        <v>303</v>
      </c>
      <c r="B30" s="48" t="s">
        <v>44</v>
      </c>
      <c r="C30" s="48" t="s">
        <v>304</v>
      </c>
      <c r="D30" s="48" t="s">
        <v>305</v>
      </c>
      <c r="E30" s="48" t="s">
        <v>306</v>
      </c>
      <c r="F30" s="48" t="s">
        <v>307</v>
      </c>
      <c r="G30" s="48">
        <v>3</v>
      </c>
      <c r="H30" s="52" t="s">
        <v>187</v>
      </c>
      <c r="I30" s="52"/>
      <c r="J30" s="52"/>
      <c r="K30" s="52"/>
      <c r="L30" s="53"/>
      <c r="M30" s="52" t="s">
        <v>188</v>
      </c>
      <c r="N30" s="57" t="str">
        <f t="shared" si="0"/>
        <v/>
      </c>
      <c r="O30" s="57" t="str">
        <f t="shared" si="1"/>
        <v/>
      </c>
      <c r="P30" s="57" t="s">
        <v>84</v>
      </c>
      <c r="Q30" s="57" t="str">
        <f>IF(P30="Baseline","Yes",IF(VLOOKUP(P30,'Questionnaire Scope'!$A$6:$D$13,4,FALSE)="Yes","Yes",IF(VLOOKUP(P30,'Questionnaire Scope'!$A$6:$D$13,4,FALSE)="No","No","Review")))</f>
        <v>Yes</v>
      </c>
      <c r="R30" s="57" t="str">
        <f t="shared" si="2"/>
        <v>Answer</v>
      </c>
    </row>
    <row r="31" spans="1:18" ht="97.25" customHeight="1">
      <c r="A31" s="60" t="s">
        <v>308</v>
      </c>
      <c r="B31" s="48" t="s">
        <v>44</v>
      </c>
      <c r="C31" s="48" t="s">
        <v>309</v>
      </c>
      <c r="D31" s="48" t="s">
        <v>310</v>
      </c>
      <c r="E31" s="48" t="s">
        <v>311</v>
      </c>
      <c r="F31" s="48" t="s">
        <v>312</v>
      </c>
      <c r="G31" s="48">
        <v>4</v>
      </c>
      <c r="H31" s="52" t="s">
        <v>187</v>
      </c>
      <c r="I31" s="52"/>
      <c r="J31" s="52"/>
      <c r="K31" s="52"/>
      <c r="L31" s="53"/>
      <c r="M31" s="52" t="s">
        <v>188</v>
      </c>
      <c r="N31" s="57" t="str">
        <f t="shared" si="0"/>
        <v/>
      </c>
      <c r="O31" s="57" t="str">
        <f t="shared" si="1"/>
        <v/>
      </c>
      <c r="P31" s="57" t="s">
        <v>84</v>
      </c>
      <c r="Q31" s="57" t="str">
        <f>IF(P31="Baseline","Yes",IF(VLOOKUP(P31,'Questionnaire Scope'!$A$6:$D$13,4,FALSE)="Yes","Yes",IF(VLOOKUP(P31,'Questionnaire Scope'!$A$6:$D$13,4,FALSE)="No","No","Review")))</f>
        <v>Yes</v>
      </c>
      <c r="R31" s="57" t="str">
        <f t="shared" si="2"/>
        <v>Answer</v>
      </c>
    </row>
    <row r="32" spans="1:18" ht="108" customHeight="1">
      <c r="A32" s="60" t="s">
        <v>313</v>
      </c>
      <c r="B32" s="48" t="s">
        <v>45</v>
      </c>
      <c r="C32" s="48" t="s">
        <v>314</v>
      </c>
      <c r="D32" s="48" t="s">
        <v>315</v>
      </c>
      <c r="E32" s="48" t="s">
        <v>316</v>
      </c>
      <c r="F32" s="48" t="s">
        <v>317</v>
      </c>
      <c r="G32" s="48">
        <v>4</v>
      </c>
      <c r="H32" s="52" t="s">
        <v>187</v>
      </c>
      <c r="I32" s="52"/>
      <c r="J32" s="52"/>
      <c r="K32" s="52"/>
      <c r="L32" s="53"/>
      <c r="M32" s="52" t="s">
        <v>188</v>
      </c>
      <c r="N32" s="57" t="str">
        <f t="shared" si="0"/>
        <v/>
      </c>
      <c r="O32" s="57" t="str">
        <f t="shared" si="1"/>
        <v/>
      </c>
      <c r="P32" s="57" t="s">
        <v>100</v>
      </c>
      <c r="Q32" s="57" t="str">
        <f>IF(P32="Baseline","Yes",IF(VLOOKUP(P32,'Questionnaire Scope'!$A$6:$D$13,4,FALSE)="Yes","Yes",IF(VLOOKUP(P32,'Questionnaire Scope'!$A$6:$D$13,4,FALSE)="No","No","Review")))</f>
        <v>Review</v>
      </c>
      <c r="R32" s="57" t="str">
        <f t="shared" si="2"/>
        <v>Confirm scope</v>
      </c>
    </row>
    <row r="33" spans="1:18" ht="108" customHeight="1">
      <c r="A33" s="60" t="s">
        <v>318</v>
      </c>
      <c r="B33" s="48" t="s">
        <v>45</v>
      </c>
      <c r="C33" s="48" t="s">
        <v>319</v>
      </c>
      <c r="D33" s="48" t="s">
        <v>320</v>
      </c>
      <c r="E33" s="48" t="s">
        <v>321</v>
      </c>
      <c r="F33" s="48" t="s">
        <v>322</v>
      </c>
      <c r="G33" s="48">
        <v>4</v>
      </c>
      <c r="H33" s="52" t="s">
        <v>187</v>
      </c>
      <c r="I33" s="52"/>
      <c r="J33" s="52"/>
      <c r="K33" s="52"/>
      <c r="L33" s="53"/>
      <c r="M33" s="52" t="s">
        <v>188</v>
      </c>
      <c r="N33" s="57" t="str">
        <f t="shared" si="0"/>
        <v/>
      </c>
      <c r="O33" s="57" t="str">
        <f t="shared" si="1"/>
        <v/>
      </c>
      <c r="P33" s="57" t="s">
        <v>100</v>
      </c>
      <c r="Q33" s="57" t="str">
        <f>IF(P33="Baseline","Yes",IF(VLOOKUP(P33,'Questionnaire Scope'!$A$6:$D$13,4,FALSE)="Yes","Yes",IF(VLOOKUP(P33,'Questionnaire Scope'!$A$6:$D$13,4,FALSE)="No","No","Review")))</f>
        <v>Review</v>
      </c>
      <c r="R33" s="57" t="str">
        <f t="shared" si="2"/>
        <v>Confirm scope</v>
      </c>
    </row>
    <row r="34" spans="1:18" ht="108" customHeight="1">
      <c r="A34" s="60" t="s">
        <v>323</v>
      </c>
      <c r="B34" s="48" t="s">
        <v>45</v>
      </c>
      <c r="C34" s="48" t="s">
        <v>324</v>
      </c>
      <c r="D34" s="48" t="s">
        <v>325</v>
      </c>
      <c r="E34" s="48" t="s">
        <v>326</v>
      </c>
      <c r="F34" s="48" t="s">
        <v>327</v>
      </c>
      <c r="G34" s="48">
        <v>4</v>
      </c>
      <c r="H34" s="52" t="s">
        <v>187</v>
      </c>
      <c r="I34" s="52"/>
      <c r="J34" s="52"/>
      <c r="K34" s="52"/>
      <c r="L34" s="53"/>
      <c r="M34" s="52" t="s">
        <v>188</v>
      </c>
      <c r="N34" s="57" t="str">
        <f t="shared" si="0"/>
        <v/>
      </c>
      <c r="O34" s="57" t="str">
        <f t="shared" si="1"/>
        <v/>
      </c>
      <c r="P34" s="57" t="s">
        <v>100</v>
      </c>
      <c r="Q34" s="57" t="str">
        <f>IF(P34="Baseline","Yes",IF(VLOOKUP(P34,'Questionnaire Scope'!$A$6:$D$13,4,FALSE)="Yes","Yes",IF(VLOOKUP(P34,'Questionnaire Scope'!$A$6:$D$13,4,FALSE)="No","No","Review")))</f>
        <v>Review</v>
      </c>
      <c r="R34" s="57" t="str">
        <f t="shared" si="2"/>
        <v>Confirm scope</v>
      </c>
    </row>
    <row r="35" spans="1:18" ht="97.25" customHeight="1">
      <c r="A35" s="60" t="s">
        <v>328</v>
      </c>
      <c r="B35" s="48" t="s">
        <v>45</v>
      </c>
      <c r="C35" s="48" t="s">
        <v>329</v>
      </c>
      <c r="D35" s="48" t="s">
        <v>330</v>
      </c>
      <c r="E35" s="48" t="s">
        <v>331</v>
      </c>
      <c r="F35" s="48" t="s">
        <v>332</v>
      </c>
      <c r="G35" s="48">
        <v>3</v>
      </c>
      <c r="H35" s="52" t="s">
        <v>187</v>
      </c>
      <c r="I35" s="52"/>
      <c r="J35" s="52"/>
      <c r="K35" s="52"/>
      <c r="L35" s="53"/>
      <c r="M35" s="52" t="s">
        <v>188</v>
      </c>
      <c r="N35" s="57" t="str">
        <f t="shared" si="0"/>
        <v/>
      </c>
      <c r="O35" s="57" t="str">
        <f t="shared" si="1"/>
        <v/>
      </c>
      <c r="P35" s="57" t="s">
        <v>100</v>
      </c>
      <c r="Q35" s="57" t="str">
        <f>IF(P35="Baseline","Yes",IF(VLOOKUP(P35,'Questionnaire Scope'!$A$6:$D$13,4,FALSE)="Yes","Yes",IF(VLOOKUP(P35,'Questionnaire Scope'!$A$6:$D$13,4,FALSE)="No","No","Review")))</f>
        <v>Review</v>
      </c>
      <c r="R35" s="57" t="str">
        <f t="shared" si="2"/>
        <v>Confirm scope</v>
      </c>
    </row>
    <row r="36" spans="1:18" ht="75.5" customHeight="1">
      <c r="A36" s="60" t="s">
        <v>333</v>
      </c>
      <c r="B36" s="48" t="s">
        <v>45</v>
      </c>
      <c r="C36" s="48" t="s">
        <v>334</v>
      </c>
      <c r="D36" s="48" t="s">
        <v>335</v>
      </c>
      <c r="E36" s="48" t="s">
        <v>336</v>
      </c>
      <c r="F36" s="48" t="s">
        <v>337</v>
      </c>
      <c r="G36" s="48">
        <v>3</v>
      </c>
      <c r="H36" s="52" t="s">
        <v>187</v>
      </c>
      <c r="I36" s="52"/>
      <c r="J36" s="52"/>
      <c r="K36" s="52"/>
      <c r="L36" s="53"/>
      <c r="M36" s="52" t="s">
        <v>188</v>
      </c>
      <c r="N36" s="57" t="str">
        <f t="shared" si="0"/>
        <v/>
      </c>
      <c r="O36" s="57" t="str">
        <f t="shared" si="1"/>
        <v/>
      </c>
      <c r="P36" s="57" t="s">
        <v>100</v>
      </c>
      <c r="Q36" s="57" t="str">
        <f>IF(P36="Baseline","Yes",IF(VLOOKUP(P36,'Questionnaire Scope'!$A$6:$D$13,4,FALSE)="Yes","Yes",IF(VLOOKUP(P36,'Questionnaire Scope'!$A$6:$D$13,4,FALSE)="No","No","Review")))</f>
        <v>Review</v>
      </c>
      <c r="R36" s="57" t="str">
        <f t="shared" si="2"/>
        <v>Confirm scope</v>
      </c>
    </row>
    <row r="37" spans="1:18" ht="108" customHeight="1">
      <c r="A37" s="60" t="s">
        <v>338</v>
      </c>
      <c r="B37" s="48" t="s">
        <v>45</v>
      </c>
      <c r="C37" s="48" t="s">
        <v>339</v>
      </c>
      <c r="D37" s="48" t="s">
        <v>340</v>
      </c>
      <c r="E37" s="48" t="s">
        <v>341</v>
      </c>
      <c r="F37" s="48" t="s">
        <v>342</v>
      </c>
      <c r="G37" s="48">
        <v>3</v>
      </c>
      <c r="H37" s="52" t="s">
        <v>187</v>
      </c>
      <c r="I37" s="52"/>
      <c r="J37" s="52"/>
      <c r="K37" s="52"/>
      <c r="L37" s="53"/>
      <c r="M37" s="52" t="s">
        <v>188</v>
      </c>
      <c r="N37" s="57" t="str">
        <f t="shared" si="0"/>
        <v/>
      </c>
      <c r="O37" s="57" t="str">
        <f t="shared" si="1"/>
        <v/>
      </c>
      <c r="P37" s="57" t="s">
        <v>100</v>
      </c>
      <c r="Q37" s="57" t="str">
        <f>IF(P37="Baseline","Yes",IF(VLOOKUP(P37,'Questionnaire Scope'!$A$6:$D$13,4,FALSE)="Yes","Yes",IF(VLOOKUP(P37,'Questionnaire Scope'!$A$6:$D$13,4,FALSE)="No","No","Review")))</f>
        <v>Review</v>
      </c>
      <c r="R37" s="57" t="str">
        <f t="shared" si="2"/>
        <v>Confirm scope</v>
      </c>
    </row>
    <row r="38" spans="1:18" ht="129.5" customHeight="1">
      <c r="A38" s="60" t="s">
        <v>343</v>
      </c>
      <c r="B38" s="48" t="s">
        <v>46</v>
      </c>
      <c r="C38" s="48" t="s">
        <v>344</v>
      </c>
      <c r="D38" s="48" t="s">
        <v>345</v>
      </c>
      <c r="E38" s="48" t="s">
        <v>346</v>
      </c>
      <c r="F38" s="48" t="s">
        <v>347</v>
      </c>
      <c r="G38" s="48">
        <v>4</v>
      </c>
      <c r="H38" s="52" t="s">
        <v>187</v>
      </c>
      <c r="I38" s="52"/>
      <c r="J38" s="52"/>
      <c r="K38" s="52"/>
      <c r="L38" s="53"/>
      <c r="M38" s="52" t="s">
        <v>188</v>
      </c>
      <c r="N38" s="57" t="str">
        <f t="shared" ref="N38:N69" si="3">IF(Q38&lt;&gt;"Yes","",IF(OR(H38="",H38="Not Answered",H38="N/A"),IF(H38="N/A",0,""),IF(H38="Yes",0,IF(H38="Partial",G38*2,IF(H38="No",G38*4,"")))))</f>
        <v/>
      </c>
      <c r="O38" s="57" t="str">
        <f t="shared" ref="O38:O69" si="4">IF(Q38&lt;&gt;"Yes","",IF(OR(H38="",H38="Not Answered",H38="N/A"),"",G38*4))</f>
        <v/>
      </c>
      <c r="P38" s="57" t="s">
        <v>92</v>
      </c>
      <c r="Q38" s="57" t="str">
        <f>IF(P38="Baseline","Yes",IF(VLOOKUP(P38,'Questionnaire Scope'!$A$6:$D$13,4,FALSE)="Yes","Yes",IF(VLOOKUP(P38,'Questionnaire Scope'!$A$6:$D$13,4,FALSE)="No","No","Review")))</f>
        <v>Review</v>
      </c>
      <c r="R38" s="57" t="str">
        <f t="shared" ref="R38:R69" si="5">IF(Q38="Yes","Answer",IF(Q38="No","Skip","Confirm scope"))</f>
        <v>Confirm scope</v>
      </c>
    </row>
    <row r="39" spans="1:18" ht="118.75" customHeight="1">
      <c r="A39" s="60" t="s">
        <v>348</v>
      </c>
      <c r="B39" s="48" t="s">
        <v>46</v>
      </c>
      <c r="C39" s="48" t="s">
        <v>349</v>
      </c>
      <c r="D39" s="48" t="s">
        <v>350</v>
      </c>
      <c r="E39" s="48" t="s">
        <v>351</v>
      </c>
      <c r="F39" s="48" t="s">
        <v>352</v>
      </c>
      <c r="G39" s="48">
        <v>5</v>
      </c>
      <c r="H39" s="52" t="s">
        <v>187</v>
      </c>
      <c r="I39" s="52"/>
      <c r="J39" s="52"/>
      <c r="K39" s="52"/>
      <c r="L39" s="53"/>
      <c r="M39" s="52" t="s">
        <v>188</v>
      </c>
      <c r="N39" s="57" t="str">
        <f t="shared" si="3"/>
        <v/>
      </c>
      <c r="O39" s="57" t="str">
        <f t="shared" si="4"/>
        <v/>
      </c>
      <c r="P39" s="57" t="s">
        <v>92</v>
      </c>
      <c r="Q39" s="57" t="str">
        <f>IF(P39="Baseline","Yes",IF(VLOOKUP(P39,'Questionnaire Scope'!$A$6:$D$13,4,FALSE)="Yes","Yes",IF(VLOOKUP(P39,'Questionnaire Scope'!$A$6:$D$13,4,FALSE)="No","No","Review")))</f>
        <v>Review</v>
      </c>
      <c r="R39" s="57" t="str">
        <f t="shared" si="5"/>
        <v>Confirm scope</v>
      </c>
    </row>
    <row r="40" spans="1:18" ht="86.5" customHeight="1">
      <c r="A40" s="60" t="s">
        <v>353</v>
      </c>
      <c r="B40" s="48" t="s">
        <v>46</v>
      </c>
      <c r="C40" s="48" t="s">
        <v>354</v>
      </c>
      <c r="D40" s="48" t="s">
        <v>355</v>
      </c>
      <c r="E40" s="48" t="s">
        <v>356</v>
      </c>
      <c r="F40" s="48" t="s">
        <v>357</v>
      </c>
      <c r="G40" s="48">
        <v>4</v>
      </c>
      <c r="H40" s="52" t="s">
        <v>187</v>
      </c>
      <c r="I40" s="52"/>
      <c r="J40" s="52"/>
      <c r="K40" s="52"/>
      <c r="L40" s="53"/>
      <c r="M40" s="52" t="s">
        <v>188</v>
      </c>
      <c r="N40" s="57" t="str">
        <f t="shared" si="3"/>
        <v/>
      </c>
      <c r="O40" s="57" t="str">
        <f t="shared" si="4"/>
        <v/>
      </c>
      <c r="P40" s="57" t="s">
        <v>92</v>
      </c>
      <c r="Q40" s="57" t="str">
        <f>IF(P40="Baseline","Yes",IF(VLOOKUP(P40,'Questionnaire Scope'!$A$6:$D$13,4,FALSE)="Yes","Yes",IF(VLOOKUP(P40,'Questionnaire Scope'!$A$6:$D$13,4,FALSE)="No","No","Review")))</f>
        <v>Review</v>
      </c>
      <c r="R40" s="57" t="str">
        <f t="shared" si="5"/>
        <v>Confirm scope</v>
      </c>
    </row>
    <row r="41" spans="1:18" ht="129.5" customHeight="1">
      <c r="A41" s="60" t="s">
        <v>358</v>
      </c>
      <c r="B41" s="48" t="s">
        <v>46</v>
      </c>
      <c r="C41" s="48" t="s">
        <v>359</v>
      </c>
      <c r="D41" s="48" t="s">
        <v>360</v>
      </c>
      <c r="E41" s="48" t="s">
        <v>361</v>
      </c>
      <c r="F41" s="48" t="s">
        <v>362</v>
      </c>
      <c r="G41" s="48">
        <v>4</v>
      </c>
      <c r="H41" s="52" t="s">
        <v>187</v>
      </c>
      <c r="I41" s="52"/>
      <c r="J41" s="52"/>
      <c r="K41" s="52"/>
      <c r="L41" s="53"/>
      <c r="M41" s="52" t="s">
        <v>188</v>
      </c>
      <c r="N41" s="57" t="str">
        <f t="shared" si="3"/>
        <v/>
      </c>
      <c r="O41" s="57" t="str">
        <f t="shared" si="4"/>
        <v/>
      </c>
      <c r="P41" s="57" t="s">
        <v>92</v>
      </c>
      <c r="Q41" s="57" t="str">
        <f>IF(P41="Baseline","Yes",IF(VLOOKUP(P41,'Questionnaire Scope'!$A$6:$D$13,4,FALSE)="Yes","Yes",IF(VLOOKUP(P41,'Questionnaire Scope'!$A$6:$D$13,4,FALSE)="No","No","Review")))</f>
        <v>Review</v>
      </c>
      <c r="R41" s="57" t="str">
        <f t="shared" si="5"/>
        <v>Confirm scope</v>
      </c>
    </row>
    <row r="42" spans="1:18" ht="129.5" customHeight="1">
      <c r="A42" s="60" t="s">
        <v>363</v>
      </c>
      <c r="B42" s="48" t="s">
        <v>46</v>
      </c>
      <c r="C42" s="48" t="s">
        <v>364</v>
      </c>
      <c r="D42" s="48" t="s">
        <v>365</v>
      </c>
      <c r="E42" s="48" t="s">
        <v>366</v>
      </c>
      <c r="F42" s="48" t="s">
        <v>367</v>
      </c>
      <c r="G42" s="48">
        <v>3</v>
      </c>
      <c r="H42" s="52" t="s">
        <v>187</v>
      </c>
      <c r="I42" s="52"/>
      <c r="J42" s="52"/>
      <c r="K42" s="52"/>
      <c r="L42" s="53"/>
      <c r="M42" s="52" t="s">
        <v>188</v>
      </c>
      <c r="N42" s="57" t="str">
        <f t="shared" si="3"/>
        <v/>
      </c>
      <c r="O42" s="57" t="str">
        <f t="shared" si="4"/>
        <v/>
      </c>
      <c r="P42" s="57" t="s">
        <v>92</v>
      </c>
      <c r="Q42" s="57" t="str">
        <f>IF(P42="Baseline","Yes",IF(VLOOKUP(P42,'Questionnaire Scope'!$A$6:$D$13,4,FALSE)="Yes","Yes",IF(VLOOKUP(P42,'Questionnaire Scope'!$A$6:$D$13,4,FALSE)="No","No","Review")))</f>
        <v>Review</v>
      </c>
      <c r="R42" s="57" t="str">
        <f t="shared" si="5"/>
        <v>Confirm scope</v>
      </c>
    </row>
    <row r="43" spans="1:18" ht="108" customHeight="1">
      <c r="A43" s="60" t="s">
        <v>368</v>
      </c>
      <c r="B43" s="48" t="s">
        <v>46</v>
      </c>
      <c r="C43" s="48" t="s">
        <v>369</v>
      </c>
      <c r="D43" s="48" t="s">
        <v>370</v>
      </c>
      <c r="E43" s="48" t="s">
        <v>371</v>
      </c>
      <c r="F43" s="48" t="s">
        <v>372</v>
      </c>
      <c r="G43" s="48">
        <v>2</v>
      </c>
      <c r="H43" s="52" t="s">
        <v>187</v>
      </c>
      <c r="I43" s="52"/>
      <c r="J43" s="52"/>
      <c r="K43" s="52"/>
      <c r="L43" s="53"/>
      <c r="M43" s="52" t="s">
        <v>188</v>
      </c>
      <c r="N43" s="57" t="str">
        <f t="shared" si="3"/>
        <v/>
      </c>
      <c r="O43" s="57" t="str">
        <f t="shared" si="4"/>
        <v/>
      </c>
      <c r="P43" s="57" t="s">
        <v>92</v>
      </c>
      <c r="Q43" s="57" t="str">
        <f>IF(P43="Baseline","Yes",IF(VLOOKUP(P43,'Questionnaire Scope'!$A$6:$D$13,4,FALSE)="Yes","Yes",IF(VLOOKUP(P43,'Questionnaire Scope'!$A$6:$D$13,4,FALSE)="No","No","Review")))</f>
        <v>Review</v>
      </c>
      <c r="R43" s="57" t="str">
        <f t="shared" si="5"/>
        <v>Confirm scope</v>
      </c>
    </row>
    <row r="44" spans="1:18" ht="118.75" customHeight="1">
      <c r="A44" s="60" t="s">
        <v>373</v>
      </c>
      <c r="B44" s="48" t="s">
        <v>47</v>
      </c>
      <c r="C44" s="48" t="s">
        <v>374</v>
      </c>
      <c r="D44" s="48" t="s">
        <v>375</v>
      </c>
      <c r="E44" s="48" t="s">
        <v>376</v>
      </c>
      <c r="F44" s="48" t="s">
        <v>377</v>
      </c>
      <c r="G44" s="48">
        <v>5</v>
      </c>
      <c r="H44" s="52" t="s">
        <v>187</v>
      </c>
      <c r="I44" s="52"/>
      <c r="J44" s="52"/>
      <c r="K44" s="52"/>
      <c r="L44" s="53"/>
      <c r="M44" s="52" t="s">
        <v>188</v>
      </c>
      <c r="N44" s="57" t="str">
        <f t="shared" si="3"/>
        <v/>
      </c>
      <c r="O44" s="57" t="str">
        <f t="shared" si="4"/>
        <v/>
      </c>
      <c r="P44" s="57" t="s">
        <v>84</v>
      </c>
      <c r="Q44" s="57" t="str">
        <f>IF(P44="Baseline","Yes",IF(VLOOKUP(P44,'Questionnaire Scope'!$A$6:$D$13,4,FALSE)="Yes","Yes",IF(VLOOKUP(P44,'Questionnaire Scope'!$A$6:$D$13,4,FALSE)="No","No","Review")))</f>
        <v>Yes</v>
      </c>
      <c r="R44" s="57" t="str">
        <f t="shared" si="5"/>
        <v>Answer</v>
      </c>
    </row>
    <row r="45" spans="1:18" ht="118.75" customHeight="1">
      <c r="A45" s="60" t="s">
        <v>378</v>
      </c>
      <c r="B45" s="48" t="s">
        <v>47</v>
      </c>
      <c r="C45" s="48" t="s">
        <v>379</v>
      </c>
      <c r="D45" s="48" t="s">
        <v>380</v>
      </c>
      <c r="E45" s="48" t="s">
        <v>381</v>
      </c>
      <c r="F45" s="48" t="s">
        <v>382</v>
      </c>
      <c r="G45" s="48">
        <v>5</v>
      </c>
      <c r="H45" s="52" t="s">
        <v>187</v>
      </c>
      <c r="I45" s="52"/>
      <c r="J45" s="52"/>
      <c r="K45" s="52"/>
      <c r="L45" s="53"/>
      <c r="M45" s="52" t="s">
        <v>188</v>
      </c>
      <c r="N45" s="57" t="str">
        <f t="shared" si="3"/>
        <v/>
      </c>
      <c r="O45" s="57" t="str">
        <f t="shared" si="4"/>
        <v/>
      </c>
      <c r="P45" s="57" t="s">
        <v>84</v>
      </c>
      <c r="Q45" s="57" t="str">
        <f>IF(P45="Baseline","Yes",IF(VLOOKUP(P45,'Questionnaire Scope'!$A$6:$D$13,4,FALSE)="Yes","Yes",IF(VLOOKUP(P45,'Questionnaire Scope'!$A$6:$D$13,4,FALSE)="No","No","Review")))</f>
        <v>Yes</v>
      </c>
      <c r="R45" s="57" t="str">
        <f t="shared" si="5"/>
        <v>Answer</v>
      </c>
    </row>
    <row r="46" spans="1:18" ht="129.5" customHeight="1">
      <c r="A46" s="60" t="s">
        <v>383</v>
      </c>
      <c r="B46" s="48" t="s">
        <v>47</v>
      </c>
      <c r="C46" s="48" t="s">
        <v>384</v>
      </c>
      <c r="D46" s="48" t="s">
        <v>385</v>
      </c>
      <c r="E46" s="48" t="s">
        <v>386</v>
      </c>
      <c r="F46" s="48" t="s">
        <v>387</v>
      </c>
      <c r="G46" s="48">
        <v>5</v>
      </c>
      <c r="H46" s="52" t="s">
        <v>187</v>
      </c>
      <c r="I46" s="52"/>
      <c r="J46" s="52"/>
      <c r="K46" s="52"/>
      <c r="L46" s="53"/>
      <c r="M46" s="52" t="s">
        <v>188</v>
      </c>
      <c r="N46" s="57" t="str">
        <f t="shared" si="3"/>
        <v/>
      </c>
      <c r="O46" s="57" t="str">
        <f t="shared" si="4"/>
        <v/>
      </c>
      <c r="P46" s="57" t="s">
        <v>84</v>
      </c>
      <c r="Q46" s="57" t="str">
        <f>IF(P46="Baseline","Yes",IF(VLOOKUP(P46,'Questionnaire Scope'!$A$6:$D$13,4,FALSE)="Yes","Yes",IF(VLOOKUP(P46,'Questionnaire Scope'!$A$6:$D$13,4,FALSE)="No","No","Review")))</f>
        <v>Yes</v>
      </c>
      <c r="R46" s="57" t="str">
        <f t="shared" si="5"/>
        <v>Answer</v>
      </c>
    </row>
    <row r="47" spans="1:18" ht="108" customHeight="1">
      <c r="A47" s="60" t="s">
        <v>388</v>
      </c>
      <c r="B47" s="48" t="s">
        <v>47</v>
      </c>
      <c r="C47" s="48" t="s">
        <v>389</v>
      </c>
      <c r="D47" s="48" t="s">
        <v>390</v>
      </c>
      <c r="E47" s="48" t="s">
        <v>391</v>
      </c>
      <c r="F47" s="48" t="s">
        <v>392</v>
      </c>
      <c r="G47" s="48">
        <v>5</v>
      </c>
      <c r="H47" s="52" t="s">
        <v>187</v>
      </c>
      <c r="I47" s="52"/>
      <c r="J47" s="52"/>
      <c r="K47" s="52"/>
      <c r="L47" s="53"/>
      <c r="M47" s="52" t="s">
        <v>188</v>
      </c>
      <c r="N47" s="57" t="str">
        <f t="shared" si="3"/>
        <v/>
      </c>
      <c r="O47" s="57" t="str">
        <f t="shared" si="4"/>
        <v/>
      </c>
      <c r="P47" s="57" t="s">
        <v>84</v>
      </c>
      <c r="Q47" s="57" t="str">
        <f>IF(P47="Baseline","Yes",IF(VLOOKUP(P47,'Questionnaire Scope'!$A$6:$D$13,4,FALSE)="Yes","Yes",IF(VLOOKUP(P47,'Questionnaire Scope'!$A$6:$D$13,4,FALSE)="No","No","Review")))</f>
        <v>Yes</v>
      </c>
      <c r="R47" s="57" t="str">
        <f t="shared" si="5"/>
        <v>Answer</v>
      </c>
    </row>
    <row r="48" spans="1:18" ht="108" customHeight="1">
      <c r="A48" s="60" t="s">
        <v>393</v>
      </c>
      <c r="B48" s="48" t="s">
        <v>47</v>
      </c>
      <c r="C48" s="48" t="s">
        <v>394</v>
      </c>
      <c r="D48" s="48" t="s">
        <v>395</v>
      </c>
      <c r="E48" s="48" t="s">
        <v>396</v>
      </c>
      <c r="F48" s="48" t="s">
        <v>397</v>
      </c>
      <c r="G48" s="48">
        <v>5</v>
      </c>
      <c r="H48" s="52" t="s">
        <v>187</v>
      </c>
      <c r="I48" s="52"/>
      <c r="J48" s="52"/>
      <c r="K48" s="52"/>
      <c r="L48" s="53"/>
      <c r="M48" s="52" t="s">
        <v>188</v>
      </c>
      <c r="N48" s="57" t="str">
        <f t="shared" si="3"/>
        <v/>
      </c>
      <c r="O48" s="57" t="str">
        <f t="shared" si="4"/>
        <v/>
      </c>
      <c r="P48" s="57" t="s">
        <v>84</v>
      </c>
      <c r="Q48" s="57" t="str">
        <f>IF(P48="Baseline","Yes",IF(VLOOKUP(P48,'Questionnaire Scope'!$A$6:$D$13,4,FALSE)="Yes","Yes",IF(VLOOKUP(P48,'Questionnaire Scope'!$A$6:$D$13,4,FALSE)="No","No","Review")))</f>
        <v>Yes</v>
      </c>
      <c r="R48" s="57" t="str">
        <f t="shared" si="5"/>
        <v>Answer</v>
      </c>
    </row>
    <row r="49" spans="1:18" ht="129.5" customHeight="1">
      <c r="A49" s="60" t="s">
        <v>398</v>
      </c>
      <c r="B49" s="48" t="s">
        <v>47</v>
      </c>
      <c r="C49" s="48" t="s">
        <v>399</v>
      </c>
      <c r="D49" s="48" t="s">
        <v>400</v>
      </c>
      <c r="E49" s="48" t="s">
        <v>401</v>
      </c>
      <c r="F49" s="48" t="s">
        <v>402</v>
      </c>
      <c r="G49" s="48">
        <v>4</v>
      </c>
      <c r="H49" s="52" t="s">
        <v>187</v>
      </c>
      <c r="I49" s="52"/>
      <c r="J49" s="52"/>
      <c r="K49" s="52"/>
      <c r="L49" s="53"/>
      <c r="M49" s="52" t="s">
        <v>188</v>
      </c>
      <c r="N49" s="57" t="str">
        <f t="shared" si="3"/>
        <v/>
      </c>
      <c r="O49" s="57" t="str">
        <f t="shared" si="4"/>
        <v/>
      </c>
      <c r="P49" s="57" t="s">
        <v>84</v>
      </c>
      <c r="Q49" s="57" t="str">
        <f>IF(P49="Baseline","Yes",IF(VLOOKUP(P49,'Questionnaire Scope'!$A$6:$D$13,4,FALSE)="Yes","Yes",IF(VLOOKUP(P49,'Questionnaire Scope'!$A$6:$D$13,4,FALSE)="No","No","Review")))</f>
        <v>Yes</v>
      </c>
      <c r="R49" s="57" t="str">
        <f t="shared" si="5"/>
        <v>Answer</v>
      </c>
    </row>
    <row r="50" spans="1:18" ht="118.75" customHeight="1">
      <c r="A50" s="60" t="s">
        <v>403</v>
      </c>
      <c r="B50" s="48" t="s">
        <v>47</v>
      </c>
      <c r="C50" s="48" t="s">
        <v>404</v>
      </c>
      <c r="D50" s="48" t="s">
        <v>405</v>
      </c>
      <c r="E50" s="48" t="s">
        <v>406</v>
      </c>
      <c r="F50" s="48" t="s">
        <v>407</v>
      </c>
      <c r="G50" s="48">
        <v>3</v>
      </c>
      <c r="H50" s="52" t="s">
        <v>187</v>
      </c>
      <c r="I50" s="52"/>
      <c r="J50" s="52"/>
      <c r="K50" s="52"/>
      <c r="L50" s="53"/>
      <c r="M50" s="52" t="s">
        <v>188</v>
      </c>
      <c r="N50" s="57" t="str">
        <f t="shared" si="3"/>
        <v/>
      </c>
      <c r="O50" s="57" t="str">
        <f t="shared" si="4"/>
        <v/>
      </c>
      <c r="P50" s="57" t="s">
        <v>84</v>
      </c>
      <c r="Q50" s="57" t="str">
        <f>IF(P50="Baseline","Yes",IF(VLOOKUP(P50,'Questionnaire Scope'!$A$6:$D$13,4,FALSE)="Yes","Yes",IF(VLOOKUP(P50,'Questionnaire Scope'!$A$6:$D$13,4,FALSE)="No","No","Review")))</f>
        <v>Yes</v>
      </c>
      <c r="R50" s="57" t="str">
        <f t="shared" si="5"/>
        <v>Answer</v>
      </c>
    </row>
    <row r="51" spans="1:18" ht="129.5" customHeight="1">
      <c r="A51" s="60" t="s">
        <v>408</v>
      </c>
      <c r="B51" s="48" t="s">
        <v>48</v>
      </c>
      <c r="C51" s="48" t="s">
        <v>409</v>
      </c>
      <c r="D51" s="48" t="s">
        <v>410</v>
      </c>
      <c r="E51" s="48" t="s">
        <v>411</v>
      </c>
      <c r="F51" s="48" t="s">
        <v>412</v>
      </c>
      <c r="G51" s="48">
        <v>5</v>
      </c>
      <c r="H51" s="52" t="s">
        <v>187</v>
      </c>
      <c r="I51" s="52"/>
      <c r="J51" s="52"/>
      <c r="K51" s="52"/>
      <c r="L51" s="53"/>
      <c r="M51" s="52" t="s">
        <v>188</v>
      </c>
      <c r="N51" s="57" t="str">
        <f t="shared" si="3"/>
        <v/>
      </c>
      <c r="O51" s="57" t="str">
        <f t="shared" si="4"/>
        <v/>
      </c>
      <c r="P51" s="57" t="s">
        <v>90</v>
      </c>
      <c r="Q51" s="57" t="str">
        <f>IF(P51="Baseline","Yes",IF(VLOOKUP(P51,'Questionnaire Scope'!$A$6:$D$13,4,FALSE)="Yes","Yes",IF(VLOOKUP(P51,'Questionnaire Scope'!$A$6:$D$13,4,FALSE)="No","No","Review")))</f>
        <v>Review</v>
      </c>
      <c r="R51" s="57" t="str">
        <f t="shared" si="5"/>
        <v>Confirm scope</v>
      </c>
    </row>
    <row r="52" spans="1:18" ht="86.5" customHeight="1">
      <c r="A52" s="60" t="s">
        <v>413</v>
      </c>
      <c r="B52" s="48" t="s">
        <v>48</v>
      </c>
      <c r="C52" s="48" t="s">
        <v>414</v>
      </c>
      <c r="D52" s="48" t="s">
        <v>415</v>
      </c>
      <c r="E52" s="48" t="s">
        <v>416</v>
      </c>
      <c r="F52" s="48" t="s">
        <v>417</v>
      </c>
      <c r="G52" s="48">
        <v>4</v>
      </c>
      <c r="H52" s="52" t="s">
        <v>187</v>
      </c>
      <c r="I52" s="52"/>
      <c r="J52" s="52"/>
      <c r="K52" s="52"/>
      <c r="L52" s="53"/>
      <c r="M52" s="52" t="s">
        <v>188</v>
      </c>
      <c r="N52" s="57" t="str">
        <f t="shared" si="3"/>
        <v/>
      </c>
      <c r="O52" s="57" t="str">
        <f t="shared" si="4"/>
        <v/>
      </c>
      <c r="P52" s="57" t="s">
        <v>90</v>
      </c>
      <c r="Q52" s="57" t="str">
        <f>IF(P52="Baseline","Yes",IF(VLOOKUP(P52,'Questionnaire Scope'!$A$6:$D$13,4,FALSE)="Yes","Yes",IF(VLOOKUP(P52,'Questionnaire Scope'!$A$6:$D$13,4,FALSE)="No","No","Review")))</f>
        <v>Review</v>
      </c>
      <c r="R52" s="57" t="str">
        <f t="shared" si="5"/>
        <v>Confirm scope</v>
      </c>
    </row>
    <row r="53" spans="1:18" ht="129.5" customHeight="1">
      <c r="A53" s="60" t="s">
        <v>418</v>
      </c>
      <c r="B53" s="48" t="s">
        <v>48</v>
      </c>
      <c r="C53" s="48" t="s">
        <v>419</v>
      </c>
      <c r="D53" s="48" t="s">
        <v>420</v>
      </c>
      <c r="E53" s="48" t="s">
        <v>421</v>
      </c>
      <c r="F53" s="48" t="s">
        <v>422</v>
      </c>
      <c r="G53" s="48">
        <v>4</v>
      </c>
      <c r="H53" s="52" t="s">
        <v>187</v>
      </c>
      <c r="I53" s="52"/>
      <c r="J53" s="52"/>
      <c r="K53" s="52"/>
      <c r="L53" s="53"/>
      <c r="M53" s="52" t="s">
        <v>188</v>
      </c>
      <c r="N53" s="57" t="str">
        <f t="shared" si="3"/>
        <v/>
      </c>
      <c r="O53" s="57" t="str">
        <f t="shared" si="4"/>
        <v/>
      </c>
      <c r="P53" s="57" t="s">
        <v>90</v>
      </c>
      <c r="Q53" s="57" t="str">
        <f>IF(P53="Baseline","Yes",IF(VLOOKUP(P53,'Questionnaire Scope'!$A$6:$D$13,4,FALSE)="Yes","Yes",IF(VLOOKUP(P53,'Questionnaire Scope'!$A$6:$D$13,4,FALSE)="No","No","Review")))</f>
        <v>Review</v>
      </c>
      <c r="R53" s="57" t="str">
        <f t="shared" si="5"/>
        <v>Confirm scope</v>
      </c>
    </row>
    <row r="54" spans="1:18" ht="108" customHeight="1">
      <c r="A54" s="60" t="s">
        <v>423</v>
      </c>
      <c r="B54" s="48" t="s">
        <v>48</v>
      </c>
      <c r="C54" s="48" t="s">
        <v>424</v>
      </c>
      <c r="D54" s="48" t="s">
        <v>425</v>
      </c>
      <c r="E54" s="48" t="s">
        <v>426</v>
      </c>
      <c r="F54" s="48" t="s">
        <v>427</v>
      </c>
      <c r="G54" s="48">
        <v>5</v>
      </c>
      <c r="H54" s="52" t="s">
        <v>187</v>
      </c>
      <c r="I54" s="52"/>
      <c r="J54" s="52"/>
      <c r="K54" s="52"/>
      <c r="L54" s="53"/>
      <c r="M54" s="52" t="s">
        <v>188</v>
      </c>
      <c r="N54" s="57" t="str">
        <f t="shared" si="3"/>
        <v/>
      </c>
      <c r="O54" s="57" t="str">
        <f t="shared" si="4"/>
        <v/>
      </c>
      <c r="P54" s="57" t="s">
        <v>90</v>
      </c>
      <c r="Q54" s="57" t="str">
        <f>IF(P54="Baseline","Yes",IF(VLOOKUP(P54,'Questionnaire Scope'!$A$6:$D$13,4,FALSE)="Yes","Yes",IF(VLOOKUP(P54,'Questionnaire Scope'!$A$6:$D$13,4,FALSE)="No","No","Review")))</f>
        <v>Review</v>
      </c>
      <c r="R54" s="57" t="str">
        <f t="shared" si="5"/>
        <v>Confirm scope</v>
      </c>
    </row>
    <row r="55" spans="1:18" ht="108" customHeight="1">
      <c r="A55" s="60" t="s">
        <v>428</v>
      </c>
      <c r="B55" s="48" t="s">
        <v>48</v>
      </c>
      <c r="C55" s="48" t="s">
        <v>429</v>
      </c>
      <c r="D55" s="48" t="s">
        <v>430</v>
      </c>
      <c r="E55" s="48" t="s">
        <v>431</v>
      </c>
      <c r="F55" s="48" t="s">
        <v>432</v>
      </c>
      <c r="G55" s="48">
        <v>4</v>
      </c>
      <c r="H55" s="52" t="s">
        <v>187</v>
      </c>
      <c r="I55" s="52"/>
      <c r="J55" s="52"/>
      <c r="K55" s="52"/>
      <c r="L55" s="53"/>
      <c r="M55" s="52" t="s">
        <v>188</v>
      </c>
      <c r="N55" s="57" t="str">
        <f t="shared" si="3"/>
        <v/>
      </c>
      <c r="O55" s="57" t="str">
        <f t="shared" si="4"/>
        <v/>
      </c>
      <c r="P55" s="57" t="s">
        <v>90</v>
      </c>
      <c r="Q55" s="57" t="str">
        <f>IF(P55="Baseline","Yes",IF(VLOOKUP(P55,'Questionnaire Scope'!$A$6:$D$13,4,FALSE)="Yes","Yes",IF(VLOOKUP(P55,'Questionnaire Scope'!$A$6:$D$13,4,FALSE)="No","No","Review")))</f>
        <v>Review</v>
      </c>
      <c r="R55" s="57" t="str">
        <f t="shared" si="5"/>
        <v>Confirm scope</v>
      </c>
    </row>
    <row r="56" spans="1:18" ht="118.75" customHeight="1">
      <c r="A56" s="60" t="s">
        <v>433</v>
      </c>
      <c r="B56" s="48" t="s">
        <v>48</v>
      </c>
      <c r="C56" s="48" t="s">
        <v>434</v>
      </c>
      <c r="D56" s="48" t="s">
        <v>435</v>
      </c>
      <c r="E56" s="48" t="s">
        <v>436</v>
      </c>
      <c r="F56" s="48" t="s">
        <v>437</v>
      </c>
      <c r="G56" s="48">
        <v>5</v>
      </c>
      <c r="H56" s="52" t="s">
        <v>187</v>
      </c>
      <c r="I56" s="52"/>
      <c r="J56" s="52"/>
      <c r="K56" s="52"/>
      <c r="L56" s="53"/>
      <c r="M56" s="52" t="s">
        <v>188</v>
      </c>
      <c r="N56" s="57" t="str">
        <f t="shared" si="3"/>
        <v/>
      </c>
      <c r="O56" s="57" t="str">
        <f t="shared" si="4"/>
        <v/>
      </c>
      <c r="P56" s="57" t="s">
        <v>90</v>
      </c>
      <c r="Q56" s="57" t="str">
        <f>IF(P56="Baseline","Yes",IF(VLOOKUP(P56,'Questionnaire Scope'!$A$6:$D$13,4,FALSE)="Yes","Yes",IF(VLOOKUP(P56,'Questionnaire Scope'!$A$6:$D$13,4,FALSE)="No","No","Review")))</f>
        <v>Review</v>
      </c>
      <c r="R56" s="57" t="str">
        <f t="shared" si="5"/>
        <v>Confirm scope</v>
      </c>
    </row>
    <row r="57" spans="1:18" ht="118.75" customHeight="1">
      <c r="A57" s="60" t="s">
        <v>438</v>
      </c>
      <c r="B57" s="48" t="s">
        <v>48</v>
      </c>
      <c r="C57" s="48" t="s">
        <v>439</v>
      </c>
      <c r="D57" s="48" t="s">
        <v>440</v>
      </c>
      <c r="E57" s="48" t="s">
        <v>441</v>
      </c>
      <c r="F57" s="48" t="s">
        <v>442</v>
      </c>
      <c r="G57" s="48">
        <v>5</v>
      </c>
      <c r="H57" s="52" t="s">
        <v>187</v>
      </c>
      <c r="I57" s="52"/>
      <c r="J57" s="52"/>
      <c r="K57" s="52"/>
      <c r="L57" s="53"/>
      <c r="M57" s="52" t="s">
        <v>188</v>
      </c>
      <c r="N57" s="57" t="str">
        <f t="shared" si="3"/>
        <v/>
      </c>
      <c r="O57" s="57" t="str">
        <f t="shared" si="4"/>
        <v/>
      </c>
      <c r="P57" s="57" t="s">
        <v>90</v>
      </c>
      <c r="Q57" s="57" t="str">
        <f>IF(P57="Baseline","Yes",IF(VLOOKUP(P57,'Questionnaire Scope'!$A$6:$D$13,4,FALSE)="Yes","Yes",IF(VLOOKUP(P57,'Questionnaire Scope'!$A$6:$D$13,4,FALSE)="No","No","Review")))</f>
        <v>Review</v>
      </c>
      <c r="R57" s="57" t="str">
        <f t="shared" si="5"/>
        <v>Confirm scope</v>
      </c>
    </row>
    <row r="58" spans="1:18" ht="118.75" customHeight="1">
      <c r="A58" s="60" t="s">
        <v>443</v>
      </c>
      <c r="B58" s="48" t="s">
        <v>49</v>
      </c>
      <c r="C58" s="48" t="s">
        <v>444</v>
      </c>
      <c r="D58" s="48" t="s">
        <v>445</v>
      </c>
      <c r="E58" s="48" t="s">
        <v>446</v>
      </c>
      <c r="F58" s="48" t="s">
        <v>444</v>
      </c>
      <c r="G58" s="48">
        <v>5</v>
      </c>
      <c r="H58" s="52" t="s">
        <v>187</v>
      </c>
      <c r="I58" s="52"/>
      <c r="J58" s="52"/>
      <c r="K58" s="52"/>
      <c r="L58" s="53"/>
      <c r="M58" s="52" t="s">
        <v>188</v>
      </c>
      <c r="N58" s="57" t="str">
        <f t="shared" si="3"/>
        <v/>
      </c>
      <c r="O58" s="57" t="str">
        <f t="shared" si="4"/>
        <v/>
      </c>
      <c r="P58" s="57" t="s">
        <v>84</v>
      </c>
      <c r="Q58" s="57" t="str">
        <f>IF(P58="Baseline","Yes",IF(VLOOKUP(P58,'Questionnaire Scope'!$A$6:$D$13,4,FALSE)="Yes","Yes",IF(VLOOKUP(P58,'Questionnaire Scope'!$A$6:$D$13,4,FALSE)="No","No","Review")))</f>
        <v>Yes</v>
      </c>
      <c r="R58" s="57" t="str">
        <f t="shared" si="5"/>
        <v>Answer</v>
      </c>
    </row>
    <row r="59" spans="1:18" ht="108" customHeight="1">
      <c r="A59" s="60" t="s">
        <v>447</v>
      </c>
      <c r="B59" s="48" t="s">
        <v>49</v>
      </c>
      <c r="C59" s="48" t="s">
        <v>448</v>
      </c>
      <c r="D59" s="48" t="s">
        <v>449</v>
      </c>
      <c r="E59" s="48" t="s">
        <v>450</v>
      </c>
      <c r="F59" s="48" t="s">
        <v>451</v>
      </c>
      <c r="G59" s="48">
        <v>5</v>
      </c>
      <c r="H59" s="52" t="s">
        <v>187</v>
      </c>
      <c r="I59" s="52"/>
      <c r="J59" s="52"/>
      <c r="K59" s="52"/>
      <c r="L59" s="53"/>
      <c r="M59" s="52" t="s">
        <v>188</v>
      </c>
      <c r="N59" s="57" t="str">
        <f t="shared" si="3"/>
        <v/>
      </c>
      <c r="O59" s="57" t="str">
        <f t="shared" si="4"/>
        <v/>
      </c>
      <c r="P59" s="57" t="s">
        <v>84</v>
      </c>
      <c r="Q59" s="57" t="str">
        <f>IF(P59="Baseline","Yes",IF(VLOOKUP(P59,'Questionnaire Scope'!$A$6:$D$13,4,FALSE)="Yes","Yes",IF(VLOOKUP(P59,'Questionnaire Scope'!$A$6:$D$13,4,FALSE)="No","No","Review")))</f>
        <v>Yes</v>
      </c>
      <c r="R59" s="57" t="str">
        <f t="shared" si="5"/>
        <v>Answer</v>
      </c>
    </row>
    <row r="60" spans="1:18" ht="86.5" customHeight="1">
      <c r="A60" s="60" t="s">
        <v>452</v>
      </c>
      <c r="B60" s="48" t="s">
        <v>49</v>
      </c>
      <c r="C60" s="48" t="s">
        <v>453</v>
      </c>
      <c r="D60" s="48" t="s">
        <v>454</v>
      </c>
      <c r="E60" s="48" t="s">
        <v>455</v>
      </c>
      <c r="F60" s="48" t="s">
        <v>456</v>
      </c>
      <c r="G60" s="48">
        <v>5</v>
      </c>
      <c r="H60" s="52" t="s">
        <v>187</v>
      </c>
      <c r="I60" s="52"/>
      <c r="J60" s="52"/>
      <c r="K60" s="52"/>
      <c r="L60" s="53"/>
      <c r="M60" s="52" t="s">
        <v>188</v>
      </c>
      <c r="N60" s="57" t="str">
        <f t="shared" si="3"/>
        <v/>
      </c>
      <c r="O60" s="57" t="str">
        <f t="shared" si="4"/>
        <v/>
      </c>
      <c r="P60" s="57" t="s">
        <v>84</v>
      </c>
      <c r="Q60" s="57" t="str">
        <f>IF(P60="Baseline","Yes",IF(VLOOKUP(P60,'Questionnaire Scope'!$A$6:$D$13,4,FALSE)="Yes","Yes",IF(VLOOKUP(P60,'Questionnaire Scope'!$A$6:$D$13,4,FALSE)="No","No","Review")))</f>
        <v>Yes</v>
      </c>
      <c r="R60" s="57" t="str">
        <f t="shared" si="5"/>
        <v>Answer</v>
      </c>
    </row>
    <row r="61" spans="1:18" ht="75.5" customHeight="1">
      <c r="A61" s="60" t="s">
        <v>457</v>
      </c>
      <c r="B61" s="48" t="s">
        <v>49</v>
      </c>
      <c r="C61" s="48" t="s">
        <v>458</v>
      </c>
      <c r="D61" s="48" t="s">
        <v>459</v>
      </c>
      <c r="E61" s="48" t="s">
        <v>460</v>
      </c>
      <c r="F61" s="48" t="s">
        <v>461</v>
      </c>
      <c r="G61" s="48">
        <v>5</v>
      </c>
      <c r="H61" s="52" t="s">
        <v>187</v>
      </c>
      <c r="I61" s="52"/>
      <c r="J61" s="52"/>
      <c r="K61" s="52"/>
      <c r="L61" s="53"/>
      <c r="M61" s="52" t="s">
        <v>188</v>
      </c>
      <c r="N61" s="57" t="str">
        <f t="shared" si="3"/>
        <v/>
      </c>
      <c r="O61" s="57" t="str">
        <f t="shared" si="4"/>
        <v/>
      </c>
      <c r="P61" s="57" t="s">
        <v>84</v>
      </c>
      <c r="Q61" s="57" t="str">
        <f>IF(P61="Baseline","Yes",IF(VLOOKUP(P61,'Questionnaire Scope'!$A$6:$D$13,4,FALSE)="Yes","Yes",IF(VLOOKUP(P61,'Questionnaire Scope'!$A$6:$D$13,4,FALSE)="No","No","Review")))</f>
        <v>Yes</v>
      </c>
      <c r="R61" s="57" t="str">
        <f t="shared" si="5"/>
        <v>Answer</v>
      </c>
    </row>
    <row r="62" spans="1:18" ht="108" customHeight="1">
      <c r="A62" s="60" t="s">
        <v>462</v>
      </c>
      <c r="B62" s="48" t="s">
        <v>49</v>
      </c>
      <c r="C62" s="48" t="s">
        <v>235</v>
      </c>
      <c r="D62" s="48" t="s">
        <v>463</v>
      </c>
      <c r="E62" s="48" t="s">
        <v>464</v>
      </c>
      <c r="F62" s="48" t="s">
        <v>465</v>
      </c>
      <c r="G62" s="48">
        <v>4</v>
      </c>
      <c r="H62" s="52" t="s">
        <v>187</v>
      </c>
      <c r="I62" s="52"/>
      <c r="J62" s="52"/>
      <c r="K62" s="52"/>
      <c r="L62" s="53"/>
      <c r="M62" s="52" t="s">
        <v>188</v>
      </c>
      <c r="N62" s="57" t="str">
        <f t="shared" si="3"/>
        <v/>
      </c>
      <c r="O62" s="57" t="str">
        <f t="shared" si="4"/>
        <v/>
      </c>
      <c r="P62" s="57" t="s">
        <v>84</v>
      </c>
      <c r="Q62" s="57" t="str">
        <f>IF(P62="Baseline","Yes",IF(VLOOKUP(P62,'Questionnaire Scope'!$A$6:$D$13,4,FALSE)="Yes","Yes",IF(VLOOKUP(P62,'Questionnaire Scope'!$A$6:$D$13,4,FALSE)="No","No","Review")))</f>
        <v>Yes</v>
      </c>
      <c r="R62" s="57" t="str">
        <f t="shared" si="5"/>
        <v>Answer</v>
      </c>
    </row>
    <row r="63" spans="1:18" ht="97.25" customHeight="1">
      <c r="A63" s="60" t="s">
        <v>466</v>
      </c>
      <c r="B63" s="48" t="s">
        <v>49</v>
      </c>
      <c r="C63" s="48" t="s">
        <v>467</v>
      </c>
      <c r="D63" s="48" t="s">
        <v>468</v>
      </c>
      <c r="E63" s="48" t="s">
        <v>469</v>
      </c>
      <c r="F63" s="48" t="s">
        <v>470</v>
      </c>
      <c r="G63" s="48">
        <v>4</v>
      </c>
      <c r="H63" s="52" t="s">
        <v>187</v>
      </c>
      <c r="I63" s="52"/>
      <c r="J63" s="52"/>
      <c r="K63" s="52"/>
      <c r="L63" s="53"/>
      <c r="M63" s="52" t="s">
        <v>188</v>
      </c>
      <c r="N63" s="57" t="str">
        <f t="shared" si="3"/>
        <v/>
      </c>
      <c r="O63" s="57" t="str">
        <f t="shared" si="4"/>
        <v/>
      </c>
      <c r="P63" s="57" t="s">
        <v>84</v>
      </c>
      <c r="Q63" s="57" t="str">
        <f>IF(P63="Baseline","Yes",IF(VLOOKUP(P63,'Questionnaire Scope'!$A$6:$D$13,4,FALSE)="Yes","Yes",IF(VLOOKUP(P63,'Questionnaire Scope'!$A$6:$D$13,4,FALSE)="No","No","Review")))</f>
        <v>Yes</v>
      </c>
      <c r="R63" s="57" t="str">
        <f t="shared" si="5"/>
        <v>Answer</v>
      </c>
    </row>
    <row r="64" spans="1:18" ht="129.5" customHeight="1">
      <c r="A64" s="60" t="s">
        <v>471</v>
      </c>
      <c r="B64" s="48" t="s">
        <v>50</v>
      </c>
      <c r="C64" s="48" t="s">
        <v>472</v>
      </c>
      <c r="D64" s="48" t="s">
        <v>473</v>
      </c>
      <c r="E64" s="48" t="s">
        <v>474</v>
      </c>
      <c r="F64" s="48" t="s">
        <v>475</v>
      </c>
      <c r="G64" s="48">
        <v>5</v>
      </c>
      <c r="H64" s="52" t="s">
        <v>187</v>
      </c>
      <c r="I64" s="52"/>
      <c r="J64" s="52"/>
      <c r="K64" s="52"/>
      <c r="L64" s="53"/>
      <c r="M64" s="52" t="s">
        <v>188</v>
      </c>
      <c r="N64" s="57" t="str">
        <f t="shared" si="3"/>
        <v/>
      </c>
      <c r="O64" s="57" t="str">
        <f t="shared" si="4"/>
        <v/>
      </c>
      <c r="P64" s="57" t="s">
        <v>84</v>
      </c>
      <c r="Q64" s="57" t="str">
        <f>IF(P64="Baseline","Yes",IF(VLOOKUP(P64,'Questionnaire Scope'!$A$6:$D$13,4,FALSE)="Yes","Yes",IF(VLOOKUP(P64,'Questionnaire Scope'!$A$6:$D$13,4,FALSE)="No","No","Review")))</f>
        <v>Yes</v>
      </c>
      <c r="R64" s="57" t="str">
        <f t="shared" si="5"/>
        <v>Answer</v>
      </c>
    </row>
    <row r="65" spans="1:18" ht="118.75" customHeight="1">
      <c r="A65" s="60" t="s">
        <v>476</v>
      </c>
      <c r="B65" s="48" t="s">
        <v>50</v>
      </c>
      <c r="C65" s="48" t="s">
        <v>477</v>
      </c>
      <c r="D65" s="48" t="s">
        <v>478</v>
      </c>
      <c r="E65" s="48" t="s">
        <v>479</v>
      </c>
      <c r="F65" s="48" t="s">
        <v>480</v>
      </c>
      <c r="G65" s="48">
        <v>4</v>
      </c>
      <c r="H65" s="52" t="s">
        <v>187</v>
      </c>
      <c r="I65" s="52"/>
      <c r="J65" s="52"/>
      <c r="K65" s="52"/>
      <c r="L65" s="53"/>
      <c r="M65" s="52" t="s">
        <v>188</v>
      </c>
      <c r="N65" s="57" t="str">
        <f t="shared" si="3"/>
        <v/>
      </c>
      <c r="O65" s="57" t="str">
        <f t="shared" si="4"/>
        <v/>
      </c>
      <c r="P65" s="57" t="s">
        <v>84</v>
      </c>
      <c r="Q65" s="57" t="str">
        <f>IF(P65="Baseline","Yes",IF(VLOOKUP(P65,'Questionnaire Scope'!$A$6:$D$13,4,FALSE)="Yes","Yes",IF(VLOOKUP(P65,'Questionnaire Scope'!$A$6:$D$13,4,FALSE)="No","No","Review")))</f>
        <v>Yes</v>
      </c>
      <c r="R65" s="57" t="str">
        <f t="shared" si="5"/>
        <v>Answer</v>
      </c>
    </row>
    <row r="66" spans="1:18" ht="108" customHeight="1">
      <c r="A66" s="60" t="s">
        <v>481</v>
      </c>
      <c r="B66" s="48" t="s">
        <v>50</v>
      </c>
      <c r="C66" s="48" t="s">
        <v>482</v>
      </c>
      <c r="D66" s="48" t="s">
        <v>483</v>
      </c>
      <c r="E66" s="48" t="s">
        <v>484</v>
      </c>
      <c r="F66" s="48" t="s">
        <v>485</v>
      </c>
      <c r="G66" s="48">
        <v>5</v>
      </c>
      <c r="H66" s="52" t="s">
        <v>187</v>
      </c>
      <c r="I66" s="52"/>
      <c r="J66" s="52"/>
      <c r="K66" s="52"/>
      <c r="L66" s="53"/>
      <c r="M66" s="52" t="s">
        <v>188</v>
      </c>
      <c r="N66" s="57" t="str">
        <f t="shared" si="3"/>
        <v/>
      </c>
      <c r="O66" s="57" t="str">
        <f t="shared" si="4"/>
        <v/>
      </c>
      <c r="P66" s="57" t="s">
        <v>84</v>
      </c>
      <c r="Q66" s="57" t="str">
        <f>IF(P66="Baseline","Yes",IF(VLOOKUP(P66,'Questionnaire Scope'!$A$6:$D$13,4,FALSE)="Yes","Yes",IF(VLOOKUP(P66,'Questionnaire Scope'!$A$6:$D$13,4,FALSE)="No","No","Review")))</f>
        <v>Yes</v>
      </c>
      <c r="R66" s="57" t="str">
        <f t="shared" si="5"/>
        <v>Answer</v>
      </c>
    </row>
    <row r="67" spans="1:18" ht="118.75" customHeight="1">
      <c r="A67" s="60" t="s">
        <v>486</v>
      </c>
      <c r="B67" s="48" t="s">
        <v>50</v>
      </c>
      <c r="C67" s="48" t="s">
        <v>487</v>
      </c>
      <c r="D67" s="48" t="s">
        <v>488</v>
      </c>
      <c r="E67" s="48" t="s">
        <v>489</v>
      </c>
      <c r="F67" s="48" t="s">
        <v>490</v>
      </c>
      <c r="G67" s="48">
        <v>5</v>
      </c>
      <c r="H67" s="52" t="s">
        <v>187</v>
      </c>
      <c r="I67" s="52"/>
      <c r="J67" s="52"/>
      <c r="K67" s="52"/>
      <c r="L67" s="53"/>
      <c r="M67" s="52" t="s">
        <v>188</v>
      </c>
      <c r="N67" s="57" t="str">
        <f t="shared" si="3"/>
        <v/>
      </c>
      <c r="O67" s="57" t="str">
        <f t="shared" si="4"/>
        <v/>
      </c>
      <c r="P67" s="57" t="s">
        <v>84</v>
      </c>
      <c r="Q67" s="57" t="str">
        <f>IF(P67="Baseline","Yes",IF(VLOOKUP(P67,'Questionnaire Scope'!$A$6:$D$13,4,FALSE)="Yes","Yes",IF(VLOOKUP(P67,'Questionnaire Scope'!$A$6:$D$13,4,FALSE)="No","No","Review")))</f>
        <v>Yes</v>
      </c>
      <c r="R67" s="57" t="str">
        <f t="shared" si="5"/>
        <v>Answer</v>
      </c>
    </row>
    <row r="68" spans="1:18" ht="108" customHeight="1">
      <c r="A68" s="60" t="s">
        <v>491</v>
      </c>
      <c r="B68" s="48" t="s">
        <v>50</v>
      </c>
      <c r="C68" s="48" t="s">
        <v>492</v>
      </c>
      <c r="D68" s="48" t="s">
        <v>493</v>
      </c>
      <c r="E68" s="48" t="s">
        <v>494</v>
      </c>
      <c r="F68" s="48" t="s">
        <v>495</v>
      </c>
      <c r="G68" s="48">
        <v>4</v>
      </c>
      <c r="H68" s="52" t="s">
        <v>187</v>
      </c>
      <c r="I68" s="52"/>
      <c r="J68" s="52"/>
      <c r="K68" s="52"/>
      <c r="L68" s="53"/>
      <c r="M68" s="52" t="s">
        <v>188</v>
      </c>
      <c r="N68" s="57" t="str">
        <f t="shared" si="3"/>
        <v/>
      </c>
      <c r="O68" s="57" t="str">
        <f t="shared" si="4"/>
        <v/>
      </c>
      <c r="P68" s="57" t="s">
        <v>84</v>
      </c>
      <c r="Q68" s="57" t="str">
        <f>IF(P68="Baseline","Yes",IF(VLOOKUP(P68,'Questionnaire Scope'!$A$6:$D$13,4,FALSE)="Yes","Yes",IF(VLOOKUP(P68,'Questionnaire Scope'!$A$6:$D$13,4,FALSE)="No","No","Review")))</f>
        <v>Yes</v>
      </c>
      <c r="R68" s="57" t="str">
        <f t="shared" si="5"/>
        <v>Answer</v>
      </c>
    </row>
    <row r="69" spans="1:18" ht="97.25" customHeight="1">
      <c r="A69" s="60" t="s">
        <v>496</v>
      </c>
      <c r="B69" s="48" t="s">
        <v>50</v>
      </c>
      <c r="C69" s="48" t="s">
        <v>497</v>
      </c>
      <c r="D69" s="48" t="s">
        <v>498</v>
      </c>
      <c r="E69" s="48" t="s">
        <v>499</v>
      </c>
      <c r="F69" s="48" t="s">
        <v>500</v>
      </c>
      <c r="G69" s="48">
        <v>4</v>
      </c>
      <c r="H69" s="52" t="s">
        <v>187</v>
      </c>
      <c r="I69" s="52"/>
      <c r="J69" s="52"/>
      <c r="K69" s="52"/>
      <c r="L69" s="53"/>
      <c r="M69" s="52" t="s">
        <v>188</v>
      </c>
      <c r="N69" s="57" t="str">
        <f t="shared" si="3"/>
        <v/>
      </c>
      <c r="O69" s="57" t="str">
        <f t="shared" si="4"/>
        <v/>
      </c>
      <c r="P69" s="57" t="s">
        <v>84</v>
      </c>
      <c r="Q69" s="57" t="str">
        <f>IF(P69="Baseline","Yes",IF(VLOOKUP(P69,'Questionnaire Scope'!$A$6:$D$13,4,FALSE)="Yes","Yes",IF(VLOOKUP(P69,'Questionnaire Scope'!$A$6:$D$13,4,FALSE)="No","No","Review")))</f>
        <v>Yes</v>
      </c>
      <c r="R69" s="57" t="str">
        <f t="shared" si="5"/>
        <v>Answer</v>
      </c>
    </row>
    <row r="70" spans="1:18" ht="140.25" customHeight="1">
      <c r="A70" s="60" t="s">
        <v>501</v>
      </c>
      <c r="B70" s="48" t="s">
        <v>51</v>
      </c>
      <c r="C70" s="48" t="s">
        <v>502</v>
      </c>
      <c r="D70" s="48" t="s">
        <v>503</v>
      </c>
      <c r="E70" s="48" t="s">
        <v>504</v>
      </c>
      <c r="F70" s="48" t="s">
        <v>505</v>
      </c>
      <c r="G70" s="48">
        <v>5</v>
      </c>
      <c r="H70" s="52" t="s">
        <v>187</v>
      </c>
      <c r="I70" s="52"/>
      <c r="J70" s="52"/>
      <c r="K70" s="52"/>
      <c r="L70" s="53"/>
      <c r="M70" s="52" t="s">
        <v>188</v>
      </c>
      <c r="N70" s="57" t="str">
        <f t="shared" ref="N70:N101" si="6">IF(Q70&lt;&gt;"Yes","",IF(OR(H70="",H70="Not Answered",H70="N/A"),IF(H70="N/A",0,""),IF(H70="Yes",0,IF(H70="Partial",G70*2,IF(H70="No",G70*4,"")))))</f>
        <v/>
      </c>
      <c r="O70" s="57" t="str">
        <f t="shared" ref="O70:O101" si="7">IF(Q70&lt;&gt;"Yes","",IF(OR(H70="",H70="Not Answered",H70="N/A"),"",G70*4))</f>
        <v/>
      </c>
      <c r="P70" s="57" t="s">
        <v>96</v>
      </c>
      <c r="Q70" s="57" t="str">
        <f>IF(P70="Baseline","Yes",IF(VLOOKUP(P70,'Questionnaire Scope'!$A$6:$D$13,4,FALSE)="Yes","Yes",IF(VLOOKUP(P70,'Questionnaire Scope'!$A$6:$D$13,4,FALSE)="No","No","Review")))</f>
        <v>Review</v>
      </c>
      <c r="R70" s="57" t="str">
        <f t="shared" ref="R70:R101" si="8">IF(Q70="Yes","Answer",IF(Q70="No","Skip","Confirm scope"))</f>
        <v>Confirm scope</v>
      </c>
    </row>
    <row r="71" spans="1:18" ht="108" customHeight="1">
      <c r="A71" s="60" t="s">
        <v>506</v>
      </c>
      <c r="B71" s="48" t="s">
        <v>51</v>
      </c>
      <c r="C71" s="48" t="s">
        <v>507</v>
      </c>
      <c r="D71" s="48" t="s">
        <v>508</v>
      </c>
      <c r="E71" s="48" t="s">
        <v>509</v>
      </c>
      <c r="F71" s="48" t="s">
        <v>510</v>
      </c>
      <c r="G71" s="48">
        <v>5</v>
      </c>
      <c r="H71" s="52" t="s">
        <v>187</v>
      </c>
      <c r="I71" s="52"/>
      <c r="J71" s="52"/>
      <c r="K71" s="52"/>
      <c r="L71" s="53"/>
      <c r="M71" s="52" t="s">
        <v>188</v>
      </c>
      <c r="N71" s="57" t="str">
        <f t="shared" si="6"/>
        <v/>
      </c>
      <c r="O71" s="57" t="str">
        <f t="shared" si="7"/>
        <v/>
      </c>
      <c r="P71" s="57" t="s">
        <v>96</v>
      </c>
      <c r="Q71" s="57" t="str">
        <f>IF(P71="Baseline","Yes",IF(VLOOKUP(P71,'Questionnaire Scope'!$A$6:$D$13,4,FALSE)="Yes","Yes",IF(VLOOKUP(P71,'Questionnaire Scope'!$A$6:$D$13,4,FALSE)="No","No","Review")))</f>
        <v>Review</v>
      </c>
      <c r="R71" s="57" t="str">
        <f t="shared" si="8"/>
        <v>Confirm scope</v>
      </c>
    </row>
    <row r="72" spans="1:18" ht="129.5" customHeight="1">
      <c r="A72" s="60" t="s">
        <v>511</v>
      </c>
      <c r="B72" s="48" t="s">
        <v>51</v>
      </c>
      <c r="C72" s="48" t="s">
        <v>512</v>
      </c>
      <c r="D72" s="48" t="s">
        <v>513</v>
      </c>
      <c r="E72" s="48" t="s">
        <v>514</v>
      </c>
      <c r="F72" s="48" t="s">
        <v>515</v>
      </c>
      <c r="G72" s="48">
        <v>5</v>
      </c>
      <c r="H72" s="52" t="s">
        <v>187</v>
      </c>
      <c r="I72" s="52"/>
      <c r="J72" s="52"/>
      <c r="K72" s="52"/>
      <c r="L72" s="53"/>
      <c r="M72" s="52" t="s">
        <v>188</v>
      </c>
      <c r="N72" s="57" t="str">
        <f t="shared" si="6"/>
        <v/>
      </c>
      <c r="O72" s="57" t="str">
        <f t="shared" si="7"/>
        <v/>
      </c>
      <c r="P72" s="57" t="s">
        <v>96</v>
      </c>
      <c r="Q72" s="57" t="str">
        <f>IF(P72="Baseline","Yes",IF(VLOOKUP(P72,'Questionnaire Scope'!$A$6:$D$13,4,FALSE)="Yes","Yes",IF(VLOOKUP(P72,'Questionnaire Scope'!$A$6:$D$13,4,FALSE)="No","No","Review")))</f>
        <v>Review</v>
      </c>
      <c r="R72" s="57" t="str">
        <f t="shared" si="8"/>
        <v>Confirm scope</v>
      </c>
    </row>
    <row r="73" spans="1:18" ht="118.75" customHeight="1">
      <c r="A73" s="60" t="s">
        <v>516</v>
      </c>
      <c r="B73" s="48" t="s">
        <v>51</v>
      </c>
      <c r="C73" s="48" t="s">
        <v>517</v>
      </c>
      <c r="D73" s="48" t="s">
        <v>518</v>
      </c>
      <c r="E73" s="48" t="s">
        <v>519</v>
      </c>
      <c r="F73" s="48" t="s">
        <v>520</v>
      </c>
      <c r="G73" s="48">
        <v>5</v>
      </c>
      <c r="H73" s="52" t="s">
        <v>187</v>
      </c>
      <c r="I73" s="52"/>
      <c r="J73" s="52"/>
      <c r="K73" s="52"/>
      <c r="L73" s="53"/>
      <c r="M73" s="52" t="s">
        <v>188</v>
      </c>
      <c r="N73" s="57" t="str">
        <f t="shared" si="6"/>
        <v/>
      </c>
      <c r="O73" s="57" t="str">
        <f t="shared" si="7"/>
        <v/>
      </c>
      <c r="P73" s="57" t="s">
        <v>96</v>
      </c>
      <c r="Q73" s="57" t="str">
        <f>IF(P73="Baseline","Yes",IF(VLOOKUP(P73,'Questionnaire Scope'!$A$6:$D$13,4,FALSE)="Yes","Yes",IF(VLOOKUP(P73,'Questionnaire Scope'!$A$6:$D$13,4,FALSE)="No","No","Review")))</f>
        <v>Review</v>
      </c>
      <c r="R73" s="57" t="str">
        <f t="shared" si="8"/>
        <v>Confirm scope</v>
      </c>
    </row>
    <row r="74" spans="1:18" ht="97.25" customHeight="1">
      <c r="A74" s="60" t="s">
        <v>521</v>
      </c>
      <c r="B74" s="48" t="s">
        <v>51</v>
      </c>
      <c r="C74" s="48" t="s">
        <v>522</v>
      </c>
      <c r="D74" s="48" t="s">
        <v>523</v>
      </c>
      <c r="E74" s="48" t="s">
        <v>524</v>
      </c>
      <c r="F74" s="48" t="s">
        <v>525</v>
      </c>
      <c r="G74" s="48">
        <v>4</v>
      </c>
      <c r="H74" s="52" t="s">
        <v>187</v>
      </c>
      <c r="I74" s="52"/>
      <c r="J74" s="52"/>
      <c r="K74" s="52"/>
      <c r="L74" s="53"/>
      <c r="M74" s="52" t="s">
        <v>188</v>
      </c>
      <c r="N74" s="57" t="str">
        <f t="shared" si="6"/>
        <v/>
      </c>
      <c r="O74" s="57" t="str">
        <f t="shared" si="7"/>
        <v/>
      </c>
      <c r="P74" s="57" t="s">
        <v>96</v>
      </c>
      <c r="Q74" s="57" t="str">
        <f>IF(P74="Baseline","Yes",IF(VLOOKUP(P74,'Questionnaire Scope'!$A$6:$D$13,4,FALSE)="Yes","Yes",IF(VLOOKUP(P74,'Questionnaire Scope'!$A$6:$D$13,4,FALSE)="No","No","Review")))</f>
        <v>Review</v>
      </c>
      <c r="R74" s="57" t="str">
        <f t="shared" si="8"/>
        <v>Confirm scope</v>
      </c>
    </row>
    <row r="75" spans="1:18" ht="108" customHeight="1">
      <c r="A75" s="60" t="s">
        <v>526</v>
      </c>
      <c r="B75" s="48" t="s">
        <v>51</v>
      </c>
      <c r="C75" s="48" t="s">
        <v>527</v>
      </c>
      <c r="D75" s="48" t="s">
        <v>528</v>
      </c>
      <c r="E75" s="48" t="s">
        <v>529</v>
      </c>
      <c r="F75" s="48" t="s">
        <v>530</v>
      </c>
      <c r="G75" s="48">
        <v>4</v>
      </c>
      <c r="H75" s="52" t="s">
        <v>187</v>
      </c>
      <c r="I75" s="52"/>
      <c r="J75" s="52"/>
      <c r="K75" s="52"/>
      <c r="L75" s="53"/>
      <c r="M75" s="52" t="s">
        <v>188</v>
      </c>
      <c r="N75" s="57" t="str">
        <f t="shared" si="6"/>
        <v/>
      </c>
      <c r="O75" s="57" t="str">
        <f t="shared" si="7"/>
        <v/>
      </c>
      <c r="P75" s="57" t="s">
        <v>96</v>
      </c>
      <c r="Q75" s="57" t="str">
        <f>IF(P75="Baseline","Yes",IF(VLOOKUP(P75,'Questionnaire Scope'!$A$6:$D$13,4,FALSE)="Yes","Yes",IF(VLOOKUP(P75,'Questionnaire Scope'!$A$6:$D$13,4,FALSE)="No","No","Review")))</f>
        <v>Review</v>
      </c>
      <c r="R75" s="57" t="str">
        <f t="shared" si="8"/>
        <v>Confirm scope</v>
      </c>
    </row>
    <row r="76" spans="1:18" ht="129.5" customHeight="1">
      <c r="A76" s="60" t="s">
        <v>531</v>
      </c>
      <c r="B76" s="48" t="s">
        <v>52</v>
      </c>
      <c r="C76" s="48" t="s">
        <v>532</v>
      </c>
      <c r="D76" s="48" t="s">
        <v>533</v>
      </c>
      <c r="E76" s="48" t="s">
        <v>534</v>
      </c>
      <c r="F76" s="48" t="s">
        <v>535</v>
      </c>
      <c r="G76" s="48">
        <v>5</v>
      </c>
      <c r="H76" s="52" t="s">
        <v>187</v>
      </c>
      <c r="I76" s="52"/>
      <c r="J76" s="52"/>
      <c r="K76" s="52"/>
      <c r="L76" s="53"/>
      <c r="M76" s="52" t="s">
        <v>188</v>
      </c>
      <c r="N76" s="57" t="str">
        <f t="shared" si="6"/>
        <v/>
      </c>
      <c r="O76" s="57" t="str">
        <f t="shared" si="7"/>
        <v/>
      </c>
      <c r="P76" s="57" t="s">
        <v>84</v>
      </c>
      <c r="Q76" s="57" t="str">
        <f>IF(P76="Baseline","Yes",IF(VLOOKUP(P76,'Questionnaire Scope'!$A$6:$D$13,4,FALSE)="Yes","Yes",IF(VLOOKUP(P76,'Questionnaire Scope'!$A$6:$D$13,4,FALSE)="No","No","Review")))</f>
        <v>Yes</v>
      </c>
      <c r="R76" s="57" t="str">
        <f t="shared" si="8"/>
        <v>Answer</v>
      </c>
    </row>
    <row r="77" spans="1:18" ht="129.5" customHeight="1">
      <c r="A77" s="60" t="s">
        <v>536</v>
      </c>
      <c r="B77" s="48" t="s">
        <v>52</v>
      </c>
      <c r="C77" s="48" t="s">
        <v>537</v>
      </c>
      <c r="D77" s="48" t="s">
        <v>538</v>
      </c>
      <c r="E77" s="48" t="s">
        <v>539</v>
      </c>
      <c r="F77" s="48" t="s">
        <v>540</v>
      </c>
      <c r="G77" s="48">
        <v>5</v>
      </c>
      <c r="H77" s="52" t="s">
        <v>187</v>
      </c>
      <c r="I77" s="52"/>
      <c r="J77" s="52"/>
      <c r="K77" s="52"/>
      <c r="L77" s="53"/>
      <c r="M77" s="52" t="s">
        <v>188</v>
      </c>
      <c r="N77" s="57" t="str">
        <f t="shared" si="6"/>
        <v/>
      </c>
      <c r="O77" s="57" t="str">
        <f t="shared" si="7"/>
        <v/>
      </c>
      <c r="P77" s="57" t="s">
        <v>84</v>
      </c>
      <c r="Q77" s="57" t="str">
        <f>IF(P77="Baseline","Yes",IF(VLOOKUP(P77,'Questionnaire Scope'!$A$6:$D$13,4,FALSE)="Yes","Yes",IF(VLOOKUP(P77,'Questionnaire Scope'!$A$6:$D$13,4,FALSE)="No","No","Review")))</f>
        <v>Yes</v>
      </c>
      <c r="R77" s="57" t="str">
        <f t="shared" si="8"/>
        <v>Answer</v>
      </c>
    </row>
    <row r="78" spans="1:18" ht="129.5" customHeight="1">
      <c r="A78" s="60" t="s">
        <v>541</v>
      </c>
      <c r="B78" s="48" t="s">
        <v>52</v>
      </c>
      <c r="C78" s="48" t="s">
        <v>542</v>
      </c>
      <c r="D78" s="48" t="s">
        <v>543</v>
      </c>
      <c r="E78" s="48" t="s">
        <v>544</v>
      </c>
      <c r="F78" s="48" t="s">
        <v>545</v>
      </c>
      <c r="G78" s="48">
        <v>5</v>
      </c>
      <c r="H78" s="52" t="s">
        <v>187</v>
      </c>
      <c r="I78" s="52"/>
      <c r="J78" s="52"/>
      <c r="K78" s="52"/>
      <c r="L78" s="53"/>
      <c r="M78" s="52" t="s">
        <v>188</v>
      </c>
      <c r="N78" s="57" t="str">
        <f t="shared" si="6"/>
        <v/>
      </c>
      <c r="O78" s="57" t="str">
        <f t="shared" si="7"/>
        <v/>
      </c>
      <c r="P78" s="57" t="s">
        <v>84</v>
      </c>
      <c r="Q78" s="57" t="str">
        <f>IF(P78="Baseline","Yes",IF(VLOOKUP(P78,'Questionnaire Scope'!$A$6:$D$13,4,FALSE)="Yes","Yes",IF(VLOOKUP(P78,'Questionnaire Scope'!$A$6:$D$13,4,FALSE)="No","No","Review")))</f>
        <v>Yes</v>
      </c>
      <c r="R78" s="57" t="str">
        <f t="shared" si="8"/>
        <v>Answer</v>
      </c>
    </row>
    <row r="79" spans="1:18" ht="86.5" customHeight="1">
      <c r="A79" s="60" t="s">
        <v>546</v>
      </c>
      <c r="B79" s="48" t="s">
        <v>52</v>
      </c>
      <c r="C79" s="48" t="s">
        <v>547</v>
      </c>
      <c r="D79" s="48" t="s">
        <v>548</v>
      </c>
      <c r="E79" s="48" t="s">
        <v>549</v>
      </c>
      <c r="F79" s="48" t="s">
        <v>550</v>
      </c>
      <c r="G79" s="48">
        <v>4</v>
      </c>
      <c r="H79" s="52" t="s">
        <v>187</v>
      </c>
      <c r="I79" s="52"/>
      <c r="J79" s="52"/>
      <c r="K79" s="52"/>
      <c r="L79" s="53"/>
      <c r="M79" s="52" t="s">
        <v>188</v>
      </c>
      <c r="N79" s="57" t="str">
        <f t="shared" si="6"/>
        <v/>
      </c>
      <c r="O79" s="57" t="str">
        <f t="shared" si="7"/>
        <v/>
      </c>
      <c r="P79" s="57" t="s">
        <v>84</v>
      </c>
      <c r="Q79" s="57" t="str">
        <f>IF(P79="Baseline","Yes",IF(VLOOKUP(P79,'Questionnaire Scope'!$A$6:$D$13,4,FALSE)="Yes","Yes",IF(VLOOKUP(P79,'Questionnaire Scope'!$A$6:$D$13,4,FALSE)="No","No","Review")))</f>
        <v>Yes</v>
      </c>
      <c r="R79" s="57" t="str">
        <f t="shared" si="8"/>
        <v>Answer</v>
      </c>
    </row>
    <row r="80" spans="1:18" ht="97.25" customHeight="1">
      <c r="A80" s="60" t="s">
        <v>551</v>
      </c>
      <c r="B80" s="48" t="s">
        <v>52</v>
      </c>
      <c r="C80" s="48" t="s">
        <v>552</v>
      </c>
      <c r="D80" s="48" t="s">
        <v>553</v>
      </c>
      <c r="E80" s="48" t="s">
        <v>554</v>
      </c>
      <c r="F80" s="48" t="s">
        <v>555</v>
      </c>
      <c r="G80" s="48">
        <v>4</v>
      </c>
      <c r="H80" s="52" t="s">
        <v>187</v>
      </c>
      <c r="I80" s="52"/>
      <c r="J80" s="52"/>
      <c r="K80" s="52"/>
      <c r="L80" s="53"/>
      <c r="M80" s="52" t="s">
        <v>188</v>
      </c>
      <c r="N80" s="57" t="str">
        <f t="shared" si="6"/>
        <v/>
      </c>
      <c r="O80" s="57" t="str">
        <f t="shared" si="7"/>
        <v/>
      </c>
      <c r="P80" s="57" t="s">
        <v>84</v>
      </c>
      <c r="Q80" s="57" t="str">
        <f>IF(P80="Baseline","Yes",IF(VLOOKUP(P80,'Questionnaire Scope'!$A$6:$D$13,4,FALSE)="Yes","Yes",IF(VLOOKUP(P80,'Questionnaire Scope'!$A$6:$D$13,4,FALSE)="No","No","Review")))</f>
        <v>Yes</v>
      </c>
      <c r="R80" s="57" t="str">
        <f t="shared" si="8"/>
        <v>Answer</v>
      </c>
    </row>
    <row r="81" spans="1:18" ht="118.75" customHeight="1">
      <c r="A81" s="60" t="s">
        <v>556</v>
      </c>
      <c r="B81" s="48" t="s">
        <v>52</v>
      </c>
      <c r="C81" s="48" t="s">
        <v>309</v>
      </c>
      <c r="D81" s="48" t="s">
        <v>557</v>
      </c>
      <c r="E81" s="48" t="s">
        <v>558</v>
      </c>
      <c r="F81" s="48" t="s">
        <v>559</v>
      </c>
      <c r="G81" s="48">
        <v>4</v>
      </c>
      <c r="H81" s="52" t="s">
        <v>187</v>
      </c>
      <c r="I81" s="52"/>
      <c r="J81" s="52"/>
      <c r="K81" s="52"/>
      <c r="L81" s="53"/>
      <c r="M81" s="52" t="s">
        <v>188</v>
      </c>
      <c r="N81" s="57" t="str">
        <f t="shared" si="6"/>
        <v/>
      </c>
      <c r="O81" s="57" t="str">
        <f t="shared" si="7"/>
        <v/>
      </c>
      <c r="P81" s="57" t="s">
        <v>84</v>
      </c>
      <c r="Q81" s="57" t="str">
        <f>IF(P81="Baseline","Yes",IF(VLOOKUP(P81,'Questionnaire Scope'!$A$6:$D$13,4,FALSE)="Yes","Yes",IF(VLOOKUP(P81,'Questionnaire Scope'!$A$6:$D$13,4,FALSE)="No","No","Review")))</f>
        <v>Yes</v>
      </c>
      <c r="R81" s="57" t="str">
        <f t="shared" si="8"/>
        <v>Answer</v>
      </c>
    </row>
    <row r="82" spans="1:18" ht="108" customHeight="1">
      <c r="A82" s="60" t="s">
        <v>560</v>
      </c>
      <c r="B82" s="48" t="s">
        <v>53</v>
      </c>
      <c r="C82" s="48" t="s">
        <v>561</v>
      </c>
      <c r="D82" s="48" t="s">
        <v>562</v>
      </c>
      <c r="E82" s="48" t="s">
        <v>563</v>
      </c>
      <c r="F82" s="48" t="s">
        <v>564</v>
      </c>
      <c r="G82" s="48">
        <v>5</v>
      </c>
      <c r="H82" s="52" t="s">
        <v>187</v>
      </c>
      <c r="I82" s="52"/>
      <c r="J82" s="52"/>
      <c r="K82" s="52"/>
      <c r="L82" s="53"/>
      <c r="M82" s="52" t="s">
        <v>188</v>
      </c>
      <c r="N82" s="57" t="str">
        <f t="shared" si="6"/>
        <v/>
      </c>
      <c r="O82" s="57" t="str">
        <f t="shared" si="7"/>
        <v/>
      </c>
      <c r="P82" s="57" t="s">
        <v>87</v>
      </c>
      <c r="Q82" s="57" t="str">
        <f>IF(P82="Baseline","Yes",IF(VLOOKUP(P82,'Questionnaire Scope'!$A$6:$D$13,4,FALSE)="Yes","Yes",IF(VLOOKUP(P82,'Questionnaire Scope'!$A$6:$D$13,4,FALSE)="No","No","Review")))</f>
        <v>Review</v>
      </c>
      <c r="R82" s="57" t="str">
        <f t="shared" si="8"/>
        <v>Confirm scope</v>
      </c>
    </row>
    <row r="83" spans="1:18" ht="140.25" customHeight="1">
      <c r="A83" s="60" t="s">
        <v>565</v>
      </c>
      <c r="B83" s="48" t="s">
        <v>53</v>
      </c>
      <c r="C83" s="48" t="s">
        <v>566</v>
      </c>
      <c r="D83" s="48" t="s">
        <v>567</v>
      </c>
      <c r="E83" s="48" t="s">
        <v>568</v>
      </c>
      <c r="F83" s="48" t="s">
        <v>569</v>
      </c>
      <c r="G83" s="48">
        <v>5</v>
      </c>
      <c r="H83" s="52" t="s">
        <v>187</v>
      </c>
      <c r="I83" s="52"/>
      <c r="J83" s="52"/>
      <c r="K83" s="52"/>
      <c r="L83" s="53"/>
      <c r="M83" s="52" t="s">
        <v>188</v>
      </c>
      <c r="N83" s="57" t="str">
        <f t="shared" si="6"/>
        <v/>
      </c>
      <c r="O83" s="57" t="str">
        <f t="shared" si="7"/>
        <v/>
      </c>
      <c r="P83" s="57" t="s">
        <v>87</v>
      </c>
      <c r="Q83" s="57" t="str">
        <f>IF(P83="Baseline","Yes",IF(VLOOKUP(P83,'Questionnaire Scope'!$A$6:$D$13,4,FALSE)="Yes","Yes",IF(VLOOKUP(P83,'Questionnaire Scope'!$A$6:$D$13,4,FALSE)="No","No","Review")))</f>
        <v>Review</v>
      </c>
      <c r="R83" s="57" t="str">
        <f t="shared" si="8"/>
        <v>Confirm scope</v>
      </c>
    </row>
    <row r="84" spans="1:18" ht="86.5" customHeight="1">
      <c r="A84" s="60" t="s">
        <v>570</v>
      </c>
      <c r="B84" s="48" t="s">
        <v>53</v>
      </c>
      <c r="C84" s="48" t="s">
        <v>571</v>
      </c>
      <c r="D84" s="48" t="s">
        <v>572</v>
      </c>
      <c r="E84" s="48" t="s">
        <v>573</v>
      </c>
      <c r="F84" s="48" t="s">
        <v>574</v>
      </c>
      <c r="G84" s="48">
        <v>4</v>
      </c>
      <c r="H84" s="52" t="s">
        <v>187</v>
      </c>
      <c r="I84" s="52"/>
      <c r="J84" s="52"/>
      <c r="K84" s="52"/>
      <c r="L84" s="53"/>
      <c r="M84" s="52" t="s">
        <v>188</v>
      </c>
      <c r="N84" s="57" t="str">
        <f t="shared" si="6"/>
        <v/>
      </c>
      <c r="O84" s="57" t="str">
        <f t="shared" si="7"/>
        <v/>
      </c>
      <c r="P84" s="57" t="s">
        <v>87</v>
      </c>
      <c r="Q84" s="57" t="str">
        <f>IF(P84="Baseline","Yes",IF(VLOOKUP(P84,'Questionnaire Scope'!$A$6:$D$13,4,FALSE)="Yes","Yes",IF(VLOOKUP(P84,'Questionnaire Scope'!$A$6:$D$13,4,FALSE)="No","No","Review")))</f>
        <v>Review</v>
      </c>
      <c r="R84" s="57" t="str">
        <f t="shared" si="8"/>
        <v>Confirm scope</v>
      </c>
    </row>
    <row r="85" spans="1:18" ht="140.25" customHeight="1">
      <c r="A85" s="60" t="s">
        <v>575</v>
      </c>
      <c r="B85" s="48" t="s">
        <v>53</v>
      </c>
      <c r="C85" s="48" t="s">
        <v>576</v>
      </c>
      <c r="D85" s="48" t="s">
        <v>577</v>
      </c>
      <c r="E85" s="48" t="s">
        <v>578</v>
      </c>
      <c r="F85" s="48" t="s">
        <v>579</v>
      </c>
      <c r="G85" s="48">
        <v>5</v>
      </c>
      <c r="H85" s="52" t="s">
        <v>187</v>
      </c>
      <c r="I85" s="52"/>
      <c r="J85" s="52"/>
      <c r="K85" s="52"/>
      <c r="L85" s="53"/>
      <c r="M85" s="52" t="s">
        <v>188</v>
      </c>
      <c r="N85" s="57" t="str">
        <f t="shared" si="6"/>
        <v/>
      </c>
      <c r="O85" s="57" t="str">
        <f t="shared" si="7"/>
        <v/>
      </c>
      <c r="P85" s="57" t="s">
        <v>87</v>
      </c>
      <c r="Q85" s="57" t="str">
        <f>IF(P85="Baseline","Yes",IF(VLOOKUP(P85,'Questionnaire Scope'!$A$6:$D$13,4,FALSE)="Yes","Yes",IF(VLOOKUP(P85,'Questionnaire Scope'!$A$6:$D$13,4,FALSE)="No","No","Review")))</f>
        <v>Review</v>
      </c>
      <c r="R85" s="57" t="str">
        <f t="shared" si="8"/>
        <v>Confirm scope</v>
      </c>
    </row>
    <row r="86" spans="1:18" ht="97.25" customHeight="1">
      <c r="A86" s="60" t="s">
        <v>580</v>
      </c>
      <c r="B86" s="48" t="s">
        <v>53</v>
      </c>
      <c r="C86" s="48" t="s">
        <v>581</v>
      </c>
      <c r="D86" s="48" t="s">
        <v>582</v>
      </c>
      <c r="E86" s="48" t="s">
        <v>583</v>
      </c>
      <c r="F86" s="48" t="s">
        <v>584</v>
      </c>
      <c r="G86" s="48">
        <v>5</v>
      </c>
      <c r="H86" s="52" t="s">
        <v>187</v>
      </c>
      <c r="I86" s="52"/>
      <c r="J86" s="52"/>
      <c r="K86" s="52"/>
      <c r="L86" s="53"/>
      <c r="M86" s="52" t="s">
        <v>188</v>
      </c>
      <c r="N86" s="57" t="str">
        <f t="shared" si="6"/>
        <v/>
      </c>
      <c r="O86" s="57" t="str">
        <f t="shared" si="7"/>
        <v/>
      </c>
      <c r="P86" s="57" t="s">
        <v>87</v>
      </c>
      <c r="Q86" s="57" t="str">
        <f>IF(P86="Baseline","Yes",IF(VLOOKUP(P86,'Questionnaire Scope'!$A$6:$D$13,4,FALSE)="Yes","Yes",IF(VLOOKUP(P86,'Questionnaire Scope'!$A$6:$D$13,4,FALSE)="No","No","Review")))</f>
        <v>Review</v>
      </c>
      <c r="R86" s="57" t="str">
        <f t="shared" si="8"/>
        <v>Confirm scope</v>
      </c>
    </row>
    <row r="87" spans="1:18" ht="129.5" customHeight="1">
      <c r="A87" s="60" t="s">
        <v>585</v>
      </c>
      <c r="B87" s="48" t="s">
        <v>53</v>
      </c>
      <c r="C87" s="48" t="s">
        <v>586</v>
      </c>
      <c r="D87" s="48" t="s">
        <v>587</v>
      </c>
      <c r="E87" s="48" t="s">
        <v>588</v>
      </c>
      <c r="F87" s="48" t="s">
        <v>589</v>
      </c>
      <c r="G87" s="48">
        <v>5</v>
      </c>
      <c r="H87" s="52" t="s">
        <v>187</v>
      </c>
      <c r="I87" s="52"/>
      <c r="J87" s="52"/>
      <c r="K87" s="52"/>
      <c r="L87" s="53"/>
      <c r="M87" s="52" t="s">
        <v>188</v>
      </c>
      <c r="N87" s="57" t="str">
        <f t="shared" si="6"/>
        <v/>
      </c>
      <c r="O87" s="57" t="str">
        <f t="shared" si="7"/>
        <v/>
      </c>
      <c r="P87" s="57" t="s">
        <v>87</v>
      </c>
      <c r="Q87" s="57" t="str">
        <f>IF(P87="Baseline","Yes",IF(VLOOKUP(P87,'Questionnaire Scope'!$A$6:$D$13,4,FALSE)="Yes","Yes",IF(VLOOKUP(P87,'Questionnaire Scope'!$A$6:$D$13,4,FALSE)="No","No","Review")))</f>
        <v>Review</v>
      </c>
      <c r="R87" s="57" t="str">
        <f t="shared" si="8"/>
        <v>Confirm scope</v>
      </c>
    </row>
    <row r="88" spans="1:18" ht="108" customHeight="1">
      <c r="A88" s="60" t="s">
        <v>590</v>
      </c>
      <c r="B88" s="48" t="s">
        <v>53</v>
      </c>
      <c r="C88" s="48" t="s">
        <v>591</v>
      </c>
      <c r="D88" s="48" t="s">
        <v>592</v>
      </c>
      <c r="E88" s="48" t="s">
        <v>593</v>
      </c>
      <c r="F88" s="48" t="s">
        <v>594</v>
      </c>
      <c r="G88" s="48">
        <v>4</v>
      </c>
      <c r="H88" s="52" t="s">
        <v>187</v>
      </c>
      <c r="I88" s="52"/>
      <c r="J88" s="52"/>
      <c r="K88" s="52"/>
      <c r="L88" s="53"/>
      <c r="M88" s="52" t="s">
        <v>188</v>
      </c>
      <c r="N88" s="57" t="str">
        <f t="shared" si="6"/>
        <v/>
      </c>
      <c r="O88" s="57" t="str">
        <f t="shared" si="7"/>
        <v/>
      </c>
      <c r="P88" s="57" t="s">
        <v>87</v>
      </c>
      <c r="Q88" s="57" t="str">
        <f>IF(P88="Baseline","Yes",IF(VLOOKUP(P88,'Questionnaire Scope'!$A$6:$D$13,4,FALSE)="Yes","Yes",IF(VLOOKUP(P88,'Questionnaire Scope'!$A$6:$D$13,4,FALSE)="No","No","Review")))</f>
        <v>Review</v>
      </c>
      <c r="R88" s="57" t="str">
        <f t="shared" si="8"/>
        <v>Confirm scope</v>
      </c>
    </row>
    <row r="89" spans="1:18" ht="129.5" customHeight="1">
      <c r="A89" s="60" t="s">
        <v>595</v>
      </c>
      <c r="B89" s="48" t="s">
        <v>54</v>
      </c>
      <c r="C89" s="48" t="s">
        <v>596</v>
      </c>
      <c r="D89" s="48" t="s">
        <v>597</v>
      </c>
      <c r="E89" s="48" t="s">
        <v>598</v>
      </c>
      <c r="F89" s="48" t="s">
        <v>599</v>
      </c>
      <c r="G89" s="48">
        <v>4</v>
      </c>
      <c r="H89" s="52" t="s">
        <v>187</v>
      </c>
      <c r="I89" s="52"/>
      <c r="J89" s="52"/>
      <c r="K89" s="52"/>
      <c r="L89" s="53"/>
      <c r="M89" s="52" t="s">
        <v>188</v>
      </c>
      <c r="N89" s="57" t="str">
        <f t="shared" si="6"/>
        <v/>
      </c>
      <c r="O89" s="57" t="str">
        <f t="shared" si="7"/>
        <v/>
      </c>
      <c r="P89" s="57" t="s">
        <v>92</v>
      </c>
      <c r="Q89" s="57" t="str">
        <f>IF(P89="Baseline","Yes",IF(VLOOKUP(P89,'Questionnaire Scope'!$A$6:$D$13,4,FALSE)="Yes","Yes",IF(VLOOKUP(P89,'Questionnaire Scope'!$A$6:$D$13,4,FALSE)="No","No","Review")))</f>
        <v>Review</v>
      </c>
      <c r="R89" s="57" t="str">
        <f t="shared" si="8"/>
        <v>Confirm scope</v>
      </c>
    </row>
    <row r="90" spans="1:18" ht="97.25" customHeight="1">
      <c r="A90" s="60" t="s">
        <v>600</v>
      </c>
      <c r="B90" s="48" t="s">
        <v>54</v>
      </c>
      <c r="C90" s="48" t="s">
        <v>601</v>
      </c>
      <c r="D90" s="48" t="s">
        <v>602</v>
      </c>
      <c r="E90" s="48" t="s">
        <v>603</v>
      </c>
      <c r="F90" s="48" t="s">
        <v>604</v>
      </c>
      <c r="G90" s="48">
        <v>5</v>
      </c>
      <c r="H90" s="52" t="s">
        <v>187</v>
      </c>
      <c r="I90" s="52"/>
      <c r="J90" s="52"/>
      <c r="K90" s="52"/>
      <c r="L90" s="53"/>
      <c r="M90" s="52" t="s">
        <v>188</v>
      </c>
      <c r="N90" s="57" t="str">
        <f t="shared" si="6"/>
        <v/>
      </c>
      <c r="O90" s="57" t="str">
        <f t="shared" si="7"/>
        <v/>
      </c>
      <c r="P90" s="57" t="s">
        <v>92</v>
      </c>
      <c r="Q90" s="57" t="str">
        <f>IF(P90="Baseline","Yes",IF(VLOOKUP(P90,'Questionnaire Scope'!$A$6:$D$13,4,FALSE)="Yes","Yes",IF(VLOOKUP(P90,'Questionnaire Scope'!$A$6:$D$13,4,FALSE)="No","No","Review")))</f>
        <v>Review</v>
      </c>
      <c r="R90" s="57" t="str">
        <f t="shared" si="8"/>
        <v>Confirm scope</v>
      </c>
    </row>
    <row r="91" spans="1:18" ht="118.75" customHeight="1">
      <c r="A91" s="60" t="s">
        <v>605</v>
      </c>
      <c r="B91" s="48" t="s">
        <v>54</v>
      </c>
      <c r="C91" s="48" t="s">
        <v>606</v>
      </c>
      <c r="D91" s="48" t="s">
        <v>607</v>
      </c>
      <c r="E91" s="48" t="s">
        <v>608</v>
      </c>
      <c r="F91" s="48" t="s">
        <v>609</v>
      </c>
      <c r="G91" s="48">
        <v>5</v>
      </c>
      <c r="H91" s="52" t="s">
        <v>187</v>
      </c>
      <c r="I91" s="52"/>
      <c r="J91" s="52"/>
      <c r="K91" s="52"/>
      <c r="L91" s="53"/>
      <c r="M91" s="52" t="s">
        <v>188</v>
      </c>
      <c r="N91" s="57" t="str">
        <f t="shared" si="6"/>
        <v/>
      </c>
      <c r="O91" s="57" t="str">
        <f t="shared" si="7"/>
        <v/>
      </c>
      <c r="P91" s="57" t="s">
        <v>92</v>
      </c>
      <c r="Q91" s="57" t="str">
        <f>IF(P91="Baseline","Yes",IF(VLOOKUP(P91,'Questionnaire Scope'!$A$6:$D$13,4,FALSE)="Yes","Yes",IF(VLOOKUP(P91,'Questionnaire Scope'!$A$6:$D$13,4,FALSE)="No","No","Review")))</f>
        <v>Review</v>
      </c>
      <c r="R91" s="57" t="str">
        <f t="shared" si="8"/>
        <v>Confirm scope</v>
      </c>
    </row>
    <row r="92" spans="1:18" ht="118.75" customHeight="1">
      <c r="A92" s="60" t="s">
        <v>610</v>
      </c>
      <c r="B92" s="48" t="s">
        <v>54</v>
      </c>
      <c r="C92" s="48" t="s">
        <v>611</v>
      </c>
      <c r="D92" s="48" t="s">
        <v>612</v>
      </c>
      <c r="E92" s="48" t="s">
        <v>613</v>
      </c>
      <c r="F92" s="48" t="s">
        <v>614</v>
      </c>
      <c r="G92" s="48">
        <v>5</v>
      </c>
      <c r="H92" s="52" t="s">
        <v>187</v>
      </c>
      <c r="I92" s="52"/>
      <c r="J92" s="52"/>
      <c r="K92" s="52"/>
      <c r="L92" s="53"/>
      <c r="M92" s="52" t="s">
        <v>188</v>
      </c>
      <c r="N92" s="57" t="str">
        <f t="shared" si="6"/>
        <v/>
      </c>
      <c r="O92" s="57" t="str">
        <f t="shared" si="7"/>
        <v/>
      </c>
      <c r="P92" s="57" t="s">
        <v>92</v>
      </c>
      <c r="Q92" s="57" t="str">
        <f>IF(P92="Baseline","Yes",IF(VLOOKUP(P92,'Questionnaire Scope'!$A$6:$D$13,4,FALSE)="Yes","Yes",IF(VLOOKUP(P92,'Questionnaire Scope'!$A$6:$D$13,4,FALSE)="No","No","Review")))</f>
        <v>Review</v>
      </c>
      <c r="R92" s="57" t="str">
        <f t="shared" si="8"/>
        <v>Confirm scope</v>
      </c>
    </row>
    <row r="93" spans="1:18" ht="129.5" customHeight="1">
      <c r="A93" s="60" t="s">
        <v>615</v>
      </c>
      <c r="B93" s="48" t="s">
        <v>54</v>
      </c>
      <c r="C93" s="48" t="s">
        <v>616</v>
      </c>
      <c r="D93" s="48" t="s">
        <v>617</v>
      </c>
      <c r="E93" s="48" t="s">
        <v>618</v>
      </c>
      <c r="F93" s="48" t="s">
        <v>619</v>
      </c>
      <c r="G93" s="48">
        <v>5</v>
      </c>
      <c r="H93" s="52" t="s">
        <v>187</v>
      </c>
      <c r="I93" s="52"/>
      <c r="J93" s="52"/>
      <c r="K93" s="52"/>
      <c r="L93" s="53"/>
      <c r="M93" s="52" t="s">
        <v>188</v>
      </c>
      <c r="N93" s="57" t="str">
        <f t="shared" si="6"/>
        <v/>
      </c>
      <c r="O93" s="57" t="str">
        <f t="shared" si="7"/>
        <v/>
      </c>
      <c r="P93" s="57" t="s">
        <v>92</v>
      </c>
      <c r="Q93" s="57" t="str">
        <f>IF(P93="Baseline","Yes",IF(VLOOKUP(P93,'Questionnaire Scope'!$A$6:$D$13,4,FALSE)="Yes","Yes",IF(VLOOKUP(P93,'Questionnaire Scope'!$A$6:$D$13,4,FALSE)="No","No","Review")))</f>
        <v>Review</v>
      </c>
      <c r="R93" s="57" t="str">
        <f t="shared" si="8"/>
        <v>Confirm scope</v>
      </c>
    </row>
    <row r="94" spans="1:18" ht="118.75" customHeight="1">
      <c r="A94" s="60" t="s">
        <v>620</v>
      </c>
      <c r="B94" s="48" t="s">
        <v>54</v>
      </c>
      <c r="C94" s="48" t="s">
        <v>621</v>
      </c>
      <c r="D94" s="48" t="s">
        <v>622</v>
      </c>
      <c r="E94" s="48" t="s">
        <v>623</v>
      </c>
      <c r="F94" s="48" t="s">
        <v>624</v>
      </c>
      <c r="G94" s="48">
        <v>5</v>
      </c>
      <c r="H94" s="52" t="s">
        <v>187</v>
      </c>
      <c r="I94" s="52"/>
      <c r="J94" s="52"/>
      <c r="K94" s="52"/>
      <c r="L94" s="53"/>
      <c r="M94" s="52" t="s">
        <v>188</v>
      </c>
      <c r="N94" s="57" t="str">
        <f t="shared" si="6"/>
        <v/>
      </c>
      <c r="O94" s="57" t="str">
        <f t="shared" si="7"/>
        <v/>
      </c>
      <c r="P94" s="57" t="s">
        <v>92</v>
      </c>
      <c r="Q94" s="57" t="str">
        <f>IF(P94="Baseline","Yes",IF(VLOOKUP(P94,'Questionnaire Scope'!$A$6:$D$13,4,FALSE)="Yes","Yes",IF(VLOOKUP(P94,'Questionnaire Scope'!$A$6:$D$13,4,FALSE)="No","No","Review")))</f>
        <v>Review</v>
      </c>
      <c r="R94" s="57" t="str">
        <f t="shared" si="8"/>
        <v>Confirm scope</v>
      </c>
    </row>
    <row r="95" spans="1:18" ht="129.5" customHeight="1">
      <c r="A95" s="60" t="s">
        <v>625</v>
      </c>
      <c r="B95" s="48" t="s">
        <v>54</v>
      </c>
      <c r="C95" s="48" t="s">
        <v>626</v>
      </c>
      <c r="D95" s="48" t="s">
        <v>627</v>
      </c>
      <c r="E95" s="48" t="s">
        <v>628</v>
      </c>
      <c r="F95" s="48" t="s">
        <v>629</v>
      </c>
      <c r="G95" s="48">
        <v>5</v>
      </c>
      <c r="H95" s="52" t="s">
        <v>187</v>
      </c>
      <c r="I95" s="52"/>
      <c r="J95" s="52"/>
      <c r="K95" s="52"/>
      <c r="L95" s="53"/>
      <c r="M95" s="52" t="s">
        <v>188</v>
      </c>
      <c r="N95" s="57" t="str">
        <f t="shared" si="6"/>
        <v/>
      </c>
      <c r="O95" s="57" t="str">
        <f t="shared" si="7"/>
        <v/>
      </c>
      <c r="P95" s="57" t="s">
        <v>92</v>
      </c>
      <c r="Q95" s="57" t="str">
        <f>IF(P95="Baseline","Yes",IF(VLOOKUP(P95,'Questionnaire Scope'!$A$6:$D$13,4,FALSE)="Yes","Yes",IF(VLOOKUP(P95,'Questionnaire Scope'!$A$6:$D$13,4,FALSE)="No","No","Review")))</f>
        <v>Review</v>
      </c>
      <c r="R95" s="57" t="str">
        <f t="shared" si="8"/>
        <v>Confirm scope</v>
      </c>
    </row>
    <row r="96" spans="1:18" ht="108" customHeight="1">
      <c r="A96" s="60" t="s">
        <v>630</v>
      </c>
      <c r="B96" s="48" t="s">
        <v>55</v>
      </c>
      <c r="C96" s="48" t="s">
        <v>631</v>
      </c>
      <c r="D96" s="48" t="s">
        <v>632</v>
      </c>
      <c r="E96" s="48" t="s">
        <v>633</v>
      </c>
      <c r="F96" s="48" t="s">
        <v>634</v>
      </c>
      <c r="G96" s="48">
        <v>4</v>
      </c>
      <c r="H96" s="52" t="s">
        <v>187</v>
      </c>
      <c r="I96" s="52"/>
      <c r="J96" s="52"/>
      <c r="K96" s="52"/>
      <c r="L96" s="53"/>
      <c r="M96" s="52" t="s">
        <v>188</v>
      </c>
      <c r="N96" s="57" t="str">
        <f t="shared" si="6"/>
        <v/>
      </c>
      <c r="O96" s="57" t="str">
        <f t="shared" si="7"/>
        <v/>
      </c>
      <c r="P96" s="57" t="s">
        <v>94</v>
      </c>
      <c r="Q96" s="57" t="str">
        <f>IF(P96="Baseline","Yes",IF(VLOOKUP(P96,'Questionnaire Scope'!$A$6:$D$13,4,FALSE)="Yes","Yes",IF(VLOOKUP(P96,'Questionnaire Scope'!$A$6:$D$13,4,FALSE)="No","No","Review")))</f>
        <v>Review</v>
      </c>
      <c r="R96" s="57" t="str">
        <f t="shared" si="8"/>
        <v>Confirm scope</v>
      </c>
    </row>
    <row r="97" spans="1:18" ht="108" customHeight="1">
      <c r="A97" s="60" t="s">
        <v>635</v>
      </c>
      <c r="B97" s="48" t="s">
        <v>55</v>
      </c>
      <c r="C97" s="48" t="s">
        <v>636</v>
      </c>
      <c r="D97" s="48" t="s">
        <v>637</v>
      </c>
      <c r="E97" s="48" t="s">
        <v>638</v>
      </c>
      <c r="F97" s="48" t="s">
        <v>639</v>
      </c>
      <c r="G97" s="48">
        <v>5</v>
      </c>
      <c r="H97" s="52" t="s">
        <v>187</v>
      </c>
      <c r="I97" s="52"/>
      <c r="J97" s="52"/>
      <c r="K97" s="52"/>
      <c r="L97" s="53"/>
      <c r="M97" s="52" t="s">
        <v>188</v>
      </c>
      <c r="N97" s="57" t="str">
        <f t="shared" si="6"/>
        <v/>
      </c>
      <c r="O97" s="57" t="str">
        <f t="shared" si="7"/>
        <v/>
      </c>
      <c r="P97" s="57" t="s">
        <v>94</v>
      </c>
      <c r="Q97" s="57" t="str">
        <f>IF(P97="Baseline","Yes",IF(VLOOKUP(P97,'Questionnaire Scope'!$A$6:$D$13,4,FALSE)="Yes","Yes",IF(VLOOKUP(P97,'Questionnaire Scope'!$A$6:$D$13,4,FALSE)="No","No","Review")))</f>
        <v>Review</v>
      </c>
      <c r="R97" s="57" t="str">
        <f t="shared" si="8"/>
        <v>Confirm scope</v>
      </c>
    </row>
    <row r="98" spans="1:18" ht="97.25" customHeight="1">
      <c r="A98" s="60" t="s">
        <v>640</v>
      </c>
      <c r="B98" s="48" t="s">
        <v>55</v>
      </c>
      <c r="C98" s="48" t="s">
        <v>641</v>
      </c>
      <c r="D98" s="48" t="s">
        <v>642</v>
      </c>
      <c r="E98" s="48" t="s">
        <v>643</v>
      </c>
      <c r="F98" s="48" t="s">
        <v>644</v>
      </c>
      <c r="G98" s="48">
        <v>4</v>
      </c>
      <c r="H98" s="52" t="s">
        <v>187</v>
      </c>
      <c r="I98" s="52"/>
      <c r="J98" s="52"/>
      <c r="K98" s="52"/>
      <c r="L98" s="53"/>
      <c r="M98" s="52" t="s">
        <v>188</v>
      </c>
      <c r="N98" s="57" t="str">
        <f t="shared" si="6"/>
        <v/>
      </c>
      <c r="O98" s="57" t="str">
        <f t="shared" si="7"/>
        <v/>
      </c>
      <c r="P98" s="57" t="s">
        <v>94</v>
      </c>
      <c r="Q98" s="57" t="str">
        <f>IF(P98="Baseline","Yes",IF(VLOOKUP(P98,'Questionnaire Scope'!$A$6:$D$13,4,FALSE)="Yes","Yes",IF(VLOOKUP(P98,'Questionnaire Scope'!$A$6:$D$13,4,FALSE)="No","No","Review")))</f>
        <v>Review</v>
      </c>
      <c r="R98" s="57" t="str">
        <f t="shared" si="8"/>
        <v>Confirm scope</v>
      </c>
    </row>
    <row r="99" spans="1:18" ht="140.25" customHeight="1">
      <c r="A99" s="60" t="s">
        <v>645</v>
      </c>
      <c r="B99" s="48" t="s">
        <v>55</v>
      </c>
      <c r="C99" s="48" t="s">
        <v>646</v>
      </c>
      <c r="D99" s="48" t="s">
        <v>647</v>
      </c>
      <c r="E99" s="48" t="s">
        <v>648</v>
      </c>
      <c r="F99" s="48" t="s">
        <v>649</v>
      </c>
      <c r="G99" s="48">
        <v>5</v>
      </c>
      <c r="H99" s="52" t="s">
        <v>187</v>
      </c>
      <c r="I99" s="52"/>
      <c r="J99" s="52"/>
      <c r="K99" s="52"/>
      <c r="L99" s="53"/>
      <c r="M99" s="52" t="s">
        <v>188</v>
      </c>
      <c r="N99" s="57" t="str">
        <f t="shared" si="6"/>
        <v/>
      </c>
      <c r="O99" s="57" t="str">
        <f t="shared" si="7"/>
        <v/>
      </c>
      <c r="P99" s="57" t="s">
        <v>94</v>
      </c>
      <c r="Q99" s="57" t="str">
        <f>IF(P99="Baseline","Yes",IF(VLOOKUP(P99,'Questionnaire Scope'!$A$6:$D$13,4,FALSE)="Yes","Yes",IF(VLOOKUP(P99,'Questionnaire Scope'!$A$6:$D$13,4,FALSE)="No","No","Review")))</f>
        <v>Review</v>
      </c>
      <c r="R99" s="57" t="str">
        <f t="shared" si="8"/>
        <v>Confirm scope</v>
      </c>
    </row>
    <row r="100" spans="1:18" ht="118.75" customHeight="1">
      <c r="A100" s="60" t="s">
        <v>650</v>
      </c>
      <c r="B100" s="48" t="s">
        <v>55</v>
      </c>
      <c r="C100" s="48" t="s">
        <v>651</v>
      </c>
      <c r="D100" s="48" t="s">
        <v>652</v>
      </c>
      <c r="E100" s="48" t="s">
        <v>653</v>
      </c>
      <c r="F100" s="48" t="s">
        <v>654</v>
      </c>
      <c r="G100" s="48">
        <v>4</v>
      </c>
      <c r="H100" s="52" t="s">
        <v>187</v>
      </c>
      <c r="I100" s="52"/>
      <c r="J100" s="52"/>
      <c r="K100" s="52"/>
      <c r="L100" s="53"/>
      <c r="M100" s="52" t="s">
        <v>188</v>
      </c>
      <c r="N100" s="57" t="str">
        <f t="shared" si="6"/>
        <v/>
      </c>
      <c r="O100" s="57" t="str">
        <f t="shared" si="7"/>
        <v/>
      </c>
      <c r="P100" s="57" t="s">
        <v>94</v>
      </c>
      <c r="Q100" s="57" t="str">
        <f>IF(P100="Baseline","Yes",IF(VLOOKUP(P100,'Questionnaire Scope'!$A$6:$D$13,4,FALSE)="Yes","Yes",IF(VLOOKUP(P100,'Questionnaire Scope'!$A$6:$D$13,4,FALSE)="No","No","Review")))</f>
        <v>Review</v>
      </c>
      <c r="R100" s="57" t="str">
        <f t="shared" si="8"/>
        <v>Confirm scope</v>
      </c>
    </row>
    <row r="101" spans="1:18" ht="86.5" customHeight="1">
      <c r="A101" s="60" t="s">
        <v>655</v>
      </c>
      <c r="B101" s="48" t="s">
        <v>55</v>
      </c>
      <c r="C101" s="48" t="s">
        <v>656</v>
      </c>
      <c r="D101" s="48" t="s">
        <v>657</v>
      </c>
      <c r="E101" s="48" t="s">
        <v>658</v>
      </c>
      <c r="F101" s="48" t="s">
        <v>659</v>
      </c>
      <c r="G101" s="48">
        <v>3</v>
      </c>
      <c r="H101" s="52" t="s">
        <v>187</v>
      </c>
      <c r="I101" s="52"/>
      <c r="J101" s="52"/>
      <c r="K101" s="52"/>
      <c r="L101" s="53"/>
      <c r="M101" s="52" t="s">
        <v>188</v>
      </c>
      <c r="N101" s="57" t="str">
        <f t="shared" si="6"/>
        <v/>
      </c>
      <c r="O101" s="57" t="str">
        <f t="shared" si="7"/>
        <v/>
      </c>
      <c r="P101" s="57" t="s">
        <v>94</v>
      </c>
      <c r="Q101" s="57" t="str">
        <f>IF(P101="Baseline","Yes",IF(VLOOKUP(P101,'Questionnaire Scope'!$A$6:$D$13,4,FALSE)="Yes","Yes",IF(VLOOKUP(P101,'Questionnaire Scope'!$A$6:$D$13,4,FALSE)="No","No","Review")))</f>
        <v>Review</v>
      </c>
      <c r="R101" s="57" t="str">
        <f t="shared" si="8"/>
        <v>Confirm scope</v>
      </c>
    </row>
    <row r="102" spans="1:18" ht="108" customHeight="1">
      <c r="A102" s="60" t="s">
        <v>660</v>
      </c>
      <c r="B102" s="48" t="s">
        <v>56</v>
      </c>
      <c r="C102" s="48" t="s">
        <v>661</v>
      </c>
      <c r="D102" s="48" t="s">
        <v>662</v>
      </c>
      <c r="E102" s="48" t="s">
        <v>663</v>
      </c>
      <c r="F102" s="48" t="s">
        <v>664</v>
      </c>
      <c r="G102" s="48">
        <v>4</v>
      </c>
      <c r="H102" s="52" t="s">
        <v>187</v>
      </c>
      <c r="I102" s="52"/>
      <c r="J102" s="52"/>
      <c r="K102" s="52"/>
      <c r="L102" s="53"/>
      <c r="M102" s="52" t="s">
        <v>188</v>
      </c>
      <c r="N102" s="57" t="str">
        <f t="shared" ref="N102:N107" si="9">IF(Q102&lt;&gt;"Yes","",IF(OR(H102="",H102="Not Answered",H102="N/A"),IF(H102="N/A",0,""),IF(H102="Yes",0,IF(H102="Partial",G102*2,IF(H102="No",G102*4,"")))))</f>
        <v/>
      </c>
      <c r="O102" s="57" t="str">
        <f t="shared" ref="O102:O107" si="10">IF(Q102&lt;&gt;"Yes","",IF(OR(H102="",H102="Not Answered",H102="N/A"),"",G102*4))</f>
        <v/>
      </c>
      <c r="P102" s="57" t="s">
        <v>98</v>
      </c>
      <c r="Q102" s="57" t="str">
        <f>IF(P102="Baseline","Yes",IF(VLOOKUP(P102,'Questionnaire Scope'!$A$6:$D$13,4,FALSE)="Yes","Yes",IF(VLOOKUP(P102,'Questionnaire Scope'!$A$6:$D$13,4,FALSE)="No","No","Review")))</f>
        <v>Review</v>
      </c>
      <c r="R102" s="57" t="str">
        <f t="shared" ref="R102:R107" si="11">IF(Q102="Yes","Answer",IF(Q102="No","Skip","Confirm scope"))</f>
        <v>Confirm scope</v>
      </c>
    </row>
    <row r="103" spans="1:18" ht="97.25" customHeight="1">
      <c r="A103" s="60" t="s">
        <v>665</v>
      </c>
      <c r="B103" s="48" t="s">
        <v>56</v>
      </c>
      <c r="C103" s="48" t="s">
        <v>666</v>
      </c>
      <c r="D103" s="48" t="s">
        <v>667</v>
      </c>
      <c r="E103" s="48" t="s">
        <v>668</v>
      </c>
      <c r="F103" s="48" t="s">
        <v>669</v>
      </c>
      <c r="G103" s="48">
        <v>4</v>
      </c>
      <c r="H103" s="52" t="s">
        <v>187</v>
      </c>
      <c r="I103" s="52"/>
      <c r="J103" s="52"/>
      <c r="K103" s="52"/>
      <c r="L103" s="53"/>
      <c r="M103" s="52" t="s">
        <v>188</v>
      </c>
      <c r="N103" s="57" t="str">
        <f t="shared" si="9"/>
        <v/>
      </c>
      <c r="O103" s="57" t="str">
        <f t="shared" si="10"/>
        <v/>
      </c>
      <c r="P103" s="57" t="s">
        <v>98</v>
      </c>
      <c r="Q103" s="57" t="str">
        <f>IF(P103="Baseline","Yes",IF(VLOOKUP(P103,'Questionnaire Scope'!$A$6:$D$13,4,FALSE)="Yes","Yes",IF(VLOOKUP(P103,'Questionnaire Scope'!$A$6:$D$13,4,FALSE)="No","No","Review")))</f>
        <v>Review</v>
      </c>
      <c r="R103" s="57" t="str">
        <f t="shared" si="11"/>
        <v>Confirm scope</v>
      </c>
    </row>
    <row r="104" spans="1:18" ht="108" customHeight="1">
      <c r="A104" s="60" t="s">
        <v>670</v>
      </c>
      <c r="B104" s="48" t="s">
        <v>56</v>
      </c>
      <c r="C104" s="48" t="s">
        <v>671</v>
      </c>
      <c r="D104" s="48" t="s">
        <v>672</v>
      </c>
      <c r="E104" s="48" t="s">
        <v>673</v>
      </c>
      <c r="F104" s="48" t="s">
        <v>674</v>
      </c>
      <c r="G104" s="48">
        <v>4</v>
      </c>
      <c r="H104" s="52" t="s">
        <v>187</v>
      </c>
      <c r="I104" s="52"/>
      <c r="J104" s="52"/>
      <c r="K104" s="52"/>
      <c r="L104" s="53"/>
      <c r="M104" s="52" t="s">
        <v>188</v>
      </c>
      <c r="N104" s="57" t="str">
        <f t="shared" si="9"/>
        <v/>
      </c>
      <c r="O104" s="57" t="str">
        <f t="shared" si="10"/>
        <v/>
      </c>
      <c r="P104" s="57" t="s">
        <v>98</v>
      </c>
      <c r="Q104" s="57" t="str">
        <f>IF(P104="Baseline","Yes",IF(VLOOKUP(P104,'Questionnaire Scope'!$A$6:$D$13,4,FALSE)="Yes","Yes",IF(VLOOKUP(P104,'Questionnaire Scope'!$A$6:$D$13,4,FALSE)="No","No","Review")))</f>
        <v>Review</v>
      </c>
      <c r="R104" s="57" t="str">
        <f t="shared" si="11"/>
        <v>Confirm scope</v>
      </c>
    </row>
    <row r="105" spans="1:18" ht="97.25" customHeight="1">
      <c r="A105" s="60" t="s">
        <v>675</v>
      </c>
      <c r="B105" s="48" t="s">
        <v>56</v>
      </c>
      <c r="C105" s="48" t="s">
        <v>676</v>
      </c>
      <c r="D105" s="48" t="s">
        <v>677</v>
      </c>
      <c r="E105" s="48" t="s">
        <v>678</v>
      </c>
      <c r="F105" s="48" t="s">
        <v>679</v>
      </c>
      <c r="G105" s="48">
        <v>3</v>
      </c>
      <c r="H105" s="52" t="s">
        <v>187</v>
      </c>
      <c r="I105" s="52"/>
      <c r="J105" s="52"/>
      <c r="K105" s="52"/>
      <c r="L105" s="53"/>
      <c r="M105" s="52" t="s">
        <v>188</v>
      </c>
      <c r="N105" s="57" t="str">
        <f t="shared" si="9"/>
        <v/>
      </c>
      <c r="O105" s="57" t="str">
        <f t="shared" si="10"/>
        <v/>
      </c>
      <c r="P105" s="57" t="s">
        <v>98</v>
      </c>
      <c r="Q105" s="57" t="str">
        <f>IF(P105="Baseline","Yes",IF(VLOOKUP(P105,'Questionnaire Scope'!$A$6:$D$13,4,FALSE)="Yes","Yes",IF(VLOOKUP(P105,'Questionnaire Scope'!$A$6:$D$13,4,FALSE)="No","No","Review")))</f>
        <v>Review</v>
      </c>
      <c r="R105" s="57" t="str">
        <f t="shared" si="11"/>
        <v>Confirm scope</v>
      </c>
    </row>
    <row r="106" spans="1:18" ht="108" customHeight="1">
      <c r="A106" s="60" t="s">
        <v>680</v>
      </c>
      <c r="B106" s="48" t="s">
        <v>56</v>
      </c>
      <c r="C106" s="48" t="s">
        <v>681</v>
      </c>
      <c r="D106" s="48" t="s">
        <v>682</v>
      </c>
      <c r="E106" s="48" t="s">
        <v>683</v>
      </c>
      <c r="F106" s="48" t="s">
        <v>684</v>
      </c>
      <c r="G106" s="48">
        <v>3</v>
      </c>
      <c r="H106" s="52" t="s">
        <v>187</v>
      </c>
      <c r="I106" s="52"/>
      <c r="J106" s="52"/>
      <c r="K106" s="52"/>
      <c r="L106" s="53"/>
      <c r="M106" s="52" t="s">
        <v>188</v>
      </c>
      <c r="N106" s="57" t="str">
        <f t="shared" si="9"/>
        <v/>
      </c>
      <c r="O106" s="57" t="str">
        <f t="shared" si="10"/>
        <v/>
      </c>
      <c r="P106" s="57" t="s">
        <v>98</v>
      </c>
      <c r="Q106" s="57" t="str">
        <f>IF(P106="Baseline","Yes",IF(VLOOKUP(P106,'Questionnaire Scope'!$A$6:$D$13,4,FALSE)="Yes","Yes",IF(VLOOKUP(P106,'Questionnaire Scope'!$A$6:$D$13,4,FALSE)="No","No","Review")))</f>
        <v>Review</v>
      </c>
      <c r="R106" s="57" t="str">
        <f t="shared" si="11"/>
        <v>Confirm scope</v>
      </c>
    </row>
    <row r="107" spans="1:18" ht="118.75" customHeight="1">
      <c r="A107" s="61" t="s">
        <v>685</v>
      </c>
      <c r="B107" s="49" t="s">
        <v>56</v>
      </c>
      <c r="C107" s="49" t="s">
        <v>686</v>
      </c>
      <c r="D107" s="49" t="s">
        <v>687</v>
      </c>
      <c r="E107" s="49" t="s">
        <v>688</v>
      </c>
      <c r="F107" s="49" t="s">
        <v>689</v>
      </c>
      <c r="G107" s="49">
        <v>4</v>
      </c>
      <c r="H107" s="54" t="s">
        <v>187</v>
      </c>
      <c r="I107" s="54"/>
      <c r="J107" s="54"/>
      <c r="K107" s="54"/>
      <c r="L107" s="55"/>
      <c r="M107" s="54" t="s">
        <v>188</v>
      </c>
      <c r="N107" s="58" t="str">
        <f t="shared" si="9"/>
        <v/>
      </c>
      <c r="O107" s="58" t="str">
        <f t="shared" si="10"/>
        <v/>
      </c>
      <c r="P107" s="58" t="s">
        <v>98</v>
      </c>
      <c r="Q107" s="58" t="str">
        <f>IF(P107="Baseline","Yes",IF(VLOOKUP(P107,'Questionnaire Scope'!$A$6:$D$13,4,FALSE)="Yes","Yes",IF(VLOOKUP(P107,'Questionnaire Scope'!$A$6:$D$13,4,FALSE)="No","No","Review")))</f>
        <v>Review</v>
      </c>
      <c r="R107" s="58" t="str">
        <f t="shared" si="11"/>
        <v>Confirm scope</v>
      </c>
    </row>
  </sheetData>
  <mergeCells count="2">
    <mergeCell ref="A1:R1"/>
    <mergeCell ref="A2:R2"/>
  </mergeCells>
  <conditionalFormatting sqref="H6:H107">
    <cfRule type="containsText" dxfId="5" priority="4" operator="containsText" text="Yes"/>
    <cfRule type="containsText" dxfId="4" priority="5" operator="containsText" text="No"/>
    <cfRule type="containsText" dxfId="3" priority="6" operator="containsText" text="Partial"/>
  </conditionalFormatting>
  <conditionalFormatting sqref="R6:R107">
    <cfRule type="containsText" dxfId="2" priority="1" operator="containsText" text="Answer"/>
    <cfRule type="containsText" dxfId="1" priority="2" operator="containsText" text="Skip"/>
    <cfRule type="containsText" dxfId="0" priority="3" operator="containsText" text="Confirm scope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Lists!$A$2:$A$6</xm:f>
          </x14:formula1>
          <xm:sqref>H6:H107</xm:sqref>
        </x14:dataValidation>
        <x14:dataValidation type="list" xr:uid="{00000000-0002-0000-0500-000001000000}">
          <x14:formula1>
            <xm:f>Lists!$B$2:$B$6</xm:f>
          </x14:formula1>
          <xm:sqref>M6:M107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J35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40" customWidth="1"/>
    <col min="3" max="3" width="24" customWidth="1"/>
    <col min="4" max="5" width="15" customWidth="1"/>
    <col min="6" max="6" width="38" customWidth="1"/>
    <col min="7" max="7" width="18" customWidth="1"/>
    <col min="8" max="8" width="13" customWidth="1"/>
    <col min="9" max="9" width="17" customWidth="1"/>
    <col min="10" max="10" width="40" customWidth="1"/>
  </cols>
  <sheetData>
    <row r="1" spans="1:10" ht="28" customHeight="1">
      <c r="A1" s="71" t="s">
        <v>690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22" customHeight="1">
      <c r="A2" s="73" t="s">
        <v>691</v>
      </c>
      <c r="B2" s="72"/>
      <c r="C2" s="72"/>
      <c r="D2" s="72"/>
      <c r="E2" s="72"/>
      <c r="F2" s="72"/>
      <c r="G2" s="72"/>
      <c r="H2" s="72"/>
      <c r="I2" s="72"/>
      <c r="J2" s="72"/>
    </row>
    <row r="3" spans="1:10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0">
      <c r="A4" s="68"/>
      <c r="B4" s="68"/>
      <c r="C4" s="68"/>
      <c r="D4" s="68"/>
      <c r="E4" s="68"/>
      <c r="F4" s="68"/>
      <c r="G4" s="68"/>
      <c r="H4" s="68"/>
      <c r="I4" s="68"/>
      <c r="J4" s="68"/>
    </row>
    <row r="5" spans="1:10" ht="30" customHeight="1">
      <c r="A5" s="11" t="s">
        <v>175</v>
      </c>
      <c r="B5" s="12" t="s">
        <v>692</v>
      </c>
      <c r="C5" s="12" t="s">
        <v>35</v>
      </c>
      <c r="D5" s="12" t="s">
        <v>693</v>
      </c>
      <c r="E5" s="12" t="s">
        <v>694</v>
      </c>
      <c r="F5" s="12" t="s">
        <v>695</v>
      </c>
      <c r="G5" s="12" t="s">
        <v>176</v>
      </c>
      <c r="H5" s="12" t="s">
        <v>177</v>
      </c>
      <c r="I5" s="12" t="s">
        <v>696</v>
      </c>
      <c r="J5" s="13" t="s">
        <v>697</v>
      </c>
    </row>
    <row r="6" spans="1:10" ht="26">
      <c r="A6" s="47" t="s">
        <v>698</v>
      </c>
      <c r="B6" s="47" t="s">
        <v>699</v>
      </c>
      <c r="C6" s="47" t="s">
        <v>41</v>
      </c>
      <c r="D6" s="50" t="s">
        <v>86</v>
      </c>
      <c r="E6" s="50" t="s">
        <v>700</v>
      </c>
      <c r="F6" s="50"/>
      <c r="G6" s="50"/>
      <c r="H6" s="51"/>
      <c r="I6" s="50" t="s">
        <v>701</v>
      </c>
      <c r="J6" s="50"/>
    </row>
    <row r="7" spans="1:10" ht="26">
      <c r="A7" s="48" t="s">
        <v>702</v>
      </c>
      <c r="B7" s="48" t="s">
        <v>703</v>
      </c>
      <c r="C7" s="48" t="s">
        <v>42</v>
      </c>
      <c r="D7" s="52" t="s">
        <v>86</v>
      </c>
      <c r="E7" s="52" t="s">
        <v>700</v>
      </c>
      <c r="F7" s="52"/>
      <c r="G7" s="52"/>
      <c r="H7" s="53"/>
      <c r="I7" s="52" t="s">
        <v>701</v>
      </c>
      <c r="J7" s="52"/>
    </row>
    <row r="8" spans="1:10" ht="26">
      <c r="A8" s="48" t="s">
        <v>704</v>
      </c>
      <c r="B8" s="48" t="s">
        <v>705</v>
      </c>
      <c r="C8" s="48" t="s">
        <v>43</v>
      </c>
      <c r="D8" s="52" t="s">
        <v>86</v>
      </c>
      <c r="E8" s="52" t="s">
        <v>700</v>
      </c>
      <c r="F8" s="52"/>
      <c r="G8" s="52"/>
      <c r="H8" s="53"/>
      <c r="I8" s="52" t="s">
        <v>701</v>
      </c>
      <c r="J8" s="52"/>
    </row>
    <row r="9" spans="1:10" ht="26">
      <c r="A9" s="48" t="s">
        <v>706</v>
      </c>
      <c r="B9" s="48" t="s">
        <v>707</v>
      </c>
      <c r="C9" s="48" t="s">
        <v>44</v>
      </c>
      <c r="D9" s="52" t="s">
        <v>86</v>
      </c>
      <c r="E9" s="52" t="s">
        <v>700</v>
      </c>
      <c r="F9" s="52"/>
      <c r="G9" s="52"/>
      <c r="H9" s="53"/>
      <c r="I9" s="52" t="s">
        <v>701</v>
      </c>
      <c r="J9" s="52"/>
    </row>
    <row r="10" spans="1:10" ht="26">
      <c r="A10" s="48" t="s">
        <v>708</v>
      </c>
      <c r="B10" s="48" t="s">
        <v>709</v>
      </c>
      <c r="C10" s="48" t="s">
        <v>45</v>
      </c>
      <c r="D10" s="52" t="s">
        <v>86</v>
      </c>
      <c r="E10" s="52" t="s">
        <v>700</v>
      </c>
      <c r="F10" s="52"/>
      <c r="G10" s="52"/>
      <c r="H10" s="53"/>
      <c r="I10" s="52" t="s">
        <v>701</v>
      </c>
      <c r="J10" s="52"/>
    </row>
    <row r="11" spans="1:10" ht="26">
      <c r="A11" s="48" t="s">
        <v>710</v>
      </c>
      <c r="B11" s="48" t="s">
        <v>711</v>
      </c>
      <c r="C11" s="48" t="s">
        <v>46</v>
      </c>
      <c r="D11" s="52" t="s">
        <v>86</v>
      </c>
      <c r="E11" s="52" t="s">
        <v>700</v>
      </c>
      <c r="F11" s="52"/>
      <c r="G11" s="52"/>
      <c r="H11" s="53"/>
      <c r="I11" s="52" t="s">
        <v>701</v>
      </c>
      <c r="J11" s="52"/>
    </row>
    <row r="12" spans="1:10" ht="26">
      <c r="A12" s="48" t="s">
        <v>712</v>
      </c>
      <c r="B12" s="48" t="s">
        <v>713</v>
      </c>
      <c r="C12" s="48" t="s">
        <v>47</v>
      </c>
      <c r="D12" s="52" t="s">
        <v>86</v>
      </c>
      <c r="E12" s="52" t="s">
        <v>700</v>
      </c>
      <c r="F12" s="52"/>
      <c r="G12" s="52"/>
      <c r="H12" s="53"/>
      <c r="I12" s="52" t="s">
        <v>701</v>
      </c>
      <c r="J12" s="52"/>
    </row>
    <row r="13" spans="1:10" ht="26">
      <c r="A13" s="48" t="s">
        <v>714</v>
      </c>
      <c r="B13" s="48" t="s">
        <v>715</v>
      </c>
      <c r="C13" s="48" t="s">
        <v>48</v>
      </c>
      <c r="D13" s="52" t="s">
        <v>86</v>
      </c>
      <c r="E13" s="52" t="s">
        <v>700</v>
      </c>
      <c r="F13" s="52"/>
      <c r="G13" s="52"/>
      <c r="H13" s="53"/>
      <c r="I13" s="52" t="s">
        <v>701</v>
      </c>
      <c r="J13" s="52"/>
    </row>
    <row r="14" spans="1:10" ht="26">
      <c r="A14" s="48" t="s">
        <v>716</v>
      </c>
      <c r="B14" s="48" t="s">
        <v>717</v>
      </c>
      <c r="C14" s="48" t="s">
        <v>49</v>
      </c>
      <c r="D14" s="52" t="s">
        <v>86</v>
      </c>
      <c r="E14" s="52" t="s">
        <v>700</v>
      </c>
      <c r="F14" s="52"/>
      <c r="G14" s="52"/>
      <c r="H14" s="53"/>
      <c r="I14" s="52" t="s">
        <v>701</v>
      </c>
      <c r="J14" s="52"/>
    </row>
    <row r="15" spans="1:10" ht="26">
      <c r="A15" s="48" t="s">
        <v>718</v>
      </c>
      <c r="B15" s="48" t="s">
        <v>719</v>
      </c>
      <c r="C15" s="48" t="s">
        <v>50</v>
      </c>
      <c r="D15" s="52" t="s">
        <v>86</v>
      </c>
      <c r="E15" s="52" t="s">
        <v>700</v>
      </c>
      <c r="F15" s="52"/>
      <c r="G15" s="52"/>
      <c r="H15" s="53"/>
      <c r="I15" s="52" t="s">
        <v>701</v>
      </c>
      <c r="J15" s="52"/>
    </row>
    <row r="16" spans="1:10" ht="26">
      <c r="A16" s="48" t="s">
        <v>720</v>
      </c>
      <c r="B16" s="48" t="s">
        <v>721</v>
      </c>
      <c r="C16" s="48" t="s">
        <v>51</v>
      </c>
      <c r="D16" s="52" t="s">
        <v>86</v>
      </c>
      <c r="E16" s="52" t="s">
        <v>700</v>
      </c>
      <c r="F16" s="52"/>
      <c r="G16" s="52"/>
      <c r="H16" s="53"/>
      <c r="I16" s="52" t="s">
        <v>701</v>
      </c>
      <c r="J16" s="52"/>
    </row>
    <row r="17" spans="1:10" ht="26">
      <c r="A17" s="48" t="s">
        <v>722</v>
      </c>
      <c r="B17" s="48" t="s">
        <v>723</v>
      </c>
      <c r="C17" s="48" t="s">
        <v>52</v>
      </c>
      <c r="D17" s="52" t="s">
        <v>86</v>
      </c>
      <c r="E17" s="52" t="s">
        <v>700</v>
      </c>
      <c r="F17" s="52"/>
      <c r="G17" s="52"/>
      <c r="H17" s="53"/>
      <c r="I17" s="52" t="s">
        <v>701</v>
      </c>
      <c r="J17" s="52"/>
    </row>
    <row r="18" spans="1:10">
      <c r="A18" s="48" t="s">
        <v>724</v>
      </c>
      <c r="B18" s="48" t="s">
        <v>725</v>
      </c>
      <c r="C18" s="48" t="s">
        <v>53</v>
      </c>
      <c r="D18" s="52" t="s">
        <v>86</v>
      </c>
      <c r="E18" s="52" t="s">
        <v>700</v>
      </c>
      <c r="F18" s="52"/>
      <c r="G18" s="52"/>
      <c r="H18" s="53"/>
      <c r="I18" s="52" t="s">
        <v>701</v>
      </c>
      <c r="J18" s="52"/>
    </row>
    <row r="19" spans="1:10" ht="26">
      <c r="A19" s="48" t="s">
        <v>726</v>
      </c>
      <c r="B19" s="48" t="s">
        <v>727</v>
      </c>
      <c r="C19" s="48" t="s">
        <v>54</v>
      </c>
      <c r="D19" s="52" t="s">
        <v>86</v>
      </c>
      <c r="E19" s="52" t="s">
        <v>700</v>
      </c>
      <c r="F19" s="52"/>
      <c r="G19" s="52"/>
      <c r="H19" s="53"/>
      <c r="I19" s="52" t="s">
        <v>701</v>
      </c>
      <c r="J19" s="52"/>
    </row>
    <row r="20" spans="1:10" ht="26">
      <c r="A20" s="48" t="s">
        <v>728</v>
      </c>
      <c r="B20" s="48" t="s">
        <v>729</v>
      </c>
      <c r="C20" s="48" t="s">
        <v>55</v>
      </c>
      <c r="D20" s="52" t="s">
        <v>86</v>
      </c>
      <c r="E20" s="52" t="s">
        <v>700</v>
      </c>
      <c r="F20" s="52"/>
      <c r="G20" s="52"/>
      <c r="H20" s="53"/>
      <c r="I20" s="52" t="s">
        <v>701</v>
      </c>
      <c r="J20" s="52"/>
    </row>
    <row r="21" spans="1:10" ht="26">
      <c r="A21" s="48" t="s">
        <v>730</v>
      </c>
      <c r="B21" s="48" t="s">
        <v>731</v>
      </c>
      <c r="C21" s="48" t="s">
        <v>56</v>
      </c>
      <c r="D21" s="52" t="s">
        <v>86</v>
      </c>
      <c r="E21" s="52" t="s">
        <v>700</v>
      </c>
      <c r="F21" s="52"/>
      <c r="G21" s="52"/>
      <c r="H21" s="53"/>
      <c r="I21" s="52" t="s">
        <v>701</v>
      </c>
      <c r="J21" s="52"/>
    </row>
    <row r="22" spans="1:10">
      <c r="A22" s="48" t="s">
        <v>732</v>
      </c>
      <c r="B22" s="48" t="s">
        <v>733</v>
      </c>
      <c r="C22" s="48"/>
      <c r="D22" s="52" t="s">
        <v>734</v>
      </c>
      <c r="E22" s="52" t="s">
        <v>735</v>
      </c>
      <c r="F22" s="52"/>
      <c r="G22" s="52"/>
      <c r="H22" s="53"/>
      <c r="I22" s="52" t="s">
        <v>701</v>
      </c>
      <c r="J22" s="52"/>
    </row>
    <row r="23" spans="1:10">
      <c r="A23" s="48" t="s">
        <v>736</v>
      </c>
      <c r="B23" s="48" t="s">
        <v>733</v>
      </c>
      <c r="C23" s="48"/>
      <c r="D23" s="52" t="s">
        <v>734</v>
      </c>
      <c r="E23" s="52" t="s">
        <v>735</v>
      </c>
      <c r="F23" s="52"/>
      <c r="G23" s="52"/>
      <c r="H23" s="53"/>
      <c r="I23" s="52" t="s">
        <v>701</v>
      </c>
      <c r="J23" s="52"/>
    </row>
    <row r="24" spans="1:10">
      <c r="A24" s="48" t="s">
        <v>737</v>
      </c>
      <c r="B24" s="48" t="s">
        <v>733</v>
      </c>
      <c r="C24" s="48"/>
      <c r="D24" s="52" t="s">
        <v>734</v>
      </c>
      <c r="E24" s="52" t="s">
        <v>735</v>
      </c>
      <c r="F24" s="52"/>
      <c r="G24" s="52"/>
      <c r="H24" s="53"/>
      <c r="I24" s="52" t="s">
        <v>701</v>
      </c>
      <c r="J24" s="52"/>
    </row>
    <row r="25" spans="1:10">
      <c r="A25" s="48" t="s">
        <v>738</v>
      </c>
      <c r="B25" s="48" t="s">
        <v>733</v>
      </c>
      <c r="C25" s="48"/>
      <c r="D25" s="52" t="s">
        <v>734</v>
      </c>
      <c r="E25" s="52" t="s">
        <v>735</v>
      </c>
      <c r="F25" s="52"/>
      <c r="G25" s="52"/>
      <c r="H25" s="53"/>
      <c r="I25" s="52" t="s">
        <v>701</v>
      </c>
      <c r="J25" s="52"/>
    </row>
    <row r="26" spans="1:10">
      <c r="A26" s="48" t="s">
        <v>739</v>
      </c>
      <c r="B26" s="48" t="s">
        <v>733</v>
      </c>
      <c r="C26" s="48"/>
      <c r="D26" s="52" t="s">
        <v>734</v>
      </c>
      <c r="E26" s="52" t="s">
        <v>735</v>
      </c>
      <c r="F26" s="52"/>
      <c r="G26" s="52"/>
      <c r="H26" s="53"/>
      <c r="I26" s="52" t="s">
        <v>701</v>
      </c>
      <c r="J26" s="52"/>
    </row>
    <row r="27" spans="1:10">
      <c r="A27" s="48" t="s">
        <v>740</v>
      </c>
      <c r="B27" s="48" t="s">
        <v>733</v>
      </c>
      <c r="C27" s="48"/>
      <c r="D27" s="52" t="s">
        <v>734</v>
      </c>
      <c r="E27" s="52" t="s">
        <v>735</v>
      </c>
      <c r="F27" s="52"/>
      <c r="G27" s="52"/>
      <c r="H27" s="53"/>
      <c r="I27" s="52" t="s">
        <v>701</v>
      </c>
      <c r="J27" s="52"/>
    </row>
    <row r="28" spans="1:10">
      <c r="A28" s="48" t="s">
        <v>741</v>
      </c>
      <c r="B28" s="48" t="s">
        <v>733</v>
      </c>
      <c r="C28" s="48"/>
      <c r="D28" s="52" t="s">
        <v>734</v>
      </c>
      <c r="E28" s="52" t="s">
        <v>735</v>
      </c>
      <c r="F28" s="52"/>
      <c r="G28" s="52"/>
      <c r="H28" s="53"/>
      <c r="I28" s="52" t="s">
        <v>701</v>
      </c>
      <c r="J28" s="52"/>
    </row>
    <row r="29" spans="1:10">
      <c r="A29" s="48" t="s">
        <v>742</v>
      </c>
      <c r="B29" s="48" t="s">
        <v>733</v>
      </c>
      <c r="C29" s="48"/>
      <c r="D29" s="52" t="s">
        <v>734</v>
      </c>
      <c r="E29" s="52" t="s">
        <v>735</v>
      </c>
      <c r="F29" s="52"/>
      <c r="G29" s="52"/>
      <c r="H29" s="53"/>
      <c r="I29" s="52" t="s">
        <v>701</v>
      </c>
      <c r="J29" s="52"/>
    </row>
    <row r="30" spans="1:10">
      <c r="A30" s="48" t="s">
        <v>743</v>
      </c>
      <c r="B30" s="48" t="s">
        <v>733</v>
      </c>
      <c r="C30" s="48"/>
      <c r="D30" s="52" t="s">
        <v>734</v>
      </c>
      <c r="E30" s="52" t="s">
        <v>735</v>
      </c>
      <c r="F30" s="52"/>
      <c r="G30" s="52"/>
      <c r="H30" s="53"/>
      <c r="I30" s="52" t="s">
        <v>701</v>
      </c>
      <c r="J30" s="52"/>
    </row>
    <row r="31" spans="1:10">
      <c r="A31" s="48" t="s">
        <v>744</v>
      </c>
      <c r="B31" s="48" t="s">
        <v>733</v>
      </c>
      <c r="C31" s="48"/>
      <c r="D31" s="52" t="s">
        <v>734</v>
      </c>
      <c r="E31" s="52" t="s">
        <v>735</v>
      </c>
      <c r="F31" s="52"/>
      <c r="G31" s="52"/>
      <c r="H31" s="53"/>
      <c r="I31" s="52" t="s">
        <v>701</v>
      </c>
      <c r="J31" s="52"/>
    </row>
    <row r="32" spans="1:10">
      <c r="A32" s="48" t="s">
        <v>745</v>
      </c>
      <c r="B32" s="48" t="s">
        <v>733</v>
      </c>
      <c r="C32" s="48"/>
      <c r="D32" s="52" t="s">
        <v>734</v>
      </c>
      <c r="E32" s="52" t="s">
        <v>735</v>
      </c>
      <c r="F32" s="52"/>
      <c r="G32" s="52"/>
      <c r="H32" s="53"/>
      <c r="I32" s="52" t="s">
        <v>701</v>
      </c>
      <c r="J32" s="52"/>
    </row>
    <row r="33" spans="1:10">
      <c r="A33" s="48" t="s">
        <v>746</v>
      </c>
      <c r="B33" s="48" t="s">
        <v>733</v>
      </c>
      <c r="C33" s="48"/>
      <c r="D33" s="52" t="s">
        <v>734</v>
      </c>
      <c r="E33" s="52" t="s">
        <v>735</v>
      </c>
      <c r="F33" s="52"/>
      <c r="G33" s="52"/>
      <c r="H33" s="53"/>
      <c r="I33" s="52" t="s">
        <v>701</v>
      </c>
      <c r="J33" s="52"/>
    </row>
    <row r="34" spans="1:10">
      <c r="A34" s="48" t="s">
        <v>747</v>
      </c>
      <c r="B34" s="48" t="s">
        <v>733</v>
      </c>
      <c r="C34" s="48"/>
      <c r="D34" s="52" t="s">
        <v>734</v>
      </c>
      <c r="E34" s="52" t="s">
        <v>735</v>
      </c>
      <c r="F34" s="52"/>
      <c r="G34" s="52"/>
      <c r="H34" s="53"/>
      <c r="I34" s="52" t="s">
        <v>701</v>
      </c>
      <c r="J34" s="52"/>
    </row>
    <row r="35" spans="1:10">
      <c r="A35" s="49" t="s">
        <v>748</v>
      </c>
      <c r="B35" s="49" t="s">
        <v>733</v>
      </c>
      <c r="C35" s="49"/>
      <c r="D35" s="54" t="s">
        <v>734</v>
      </c>
      <c r="E35" s="54" t="s">
        <v>735</v>
      </c>
      <c r="F35" s="54"/>
      <c r="G35" s="54"/>
      <c r="H35" s="55"/>
      <c r="I35" s="54" t="s">
        <v>701</v>
      </c>
      <c r="J35" s="54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0000000}">
          <x14:formula1>
            <xm:f>Lists!$D$2:$D$4</xm:f>
          </x14:formula1>
          <xm:sqref>D6:D35</xm:sqref>
        </x14:dataValidation>
        <x14:dataValidation type="list" xr:uid="{00000000-0002-0000-0600-000001000000}">
          <x14:formula1>
            <xm:f>Lists!$E$2:$E$7</xm:f>
          </x14:formula1>
          <xm:sqref>E6:E35</xm:sqref>
        </x14:dataValidation>
        <x14:dataValidation type="list" xr:uid="{00000000-0002-0000-0600-000002000000}">
          <x14:formula1>
            <xm:f>Lists!$F$2:$F$5</xm:f>
          </x14:formula1>
          <xm:sqref>I6:I35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7E6E6"/>
  </sheetPr>
  <dimension ref="A1:G18"/>
  <sheetViews>
    <sheetView showGridLines="0" workbookViewId="0"/>
  </sheetViews>
  <sheetFormatPr baseColWidth="10" defaultColWidth="8.83203125" defaultRowHeight="14"/>
  <cols>
    <col min="1" max="1" width="23" customWidth="1"/>
    <col min="2" max="2" width="26" customWidth="1"/>
    <col min="3" max="3" width="20" customWidth="1"/>
    <col min="4" max="5" width="45" customWidth="1"/>
  </cols>
  <sheetData>
    <row r="1" spans="1:7" ht="28" customHeight="1">
      <c r="A1" s="71" t="s">
        <v>749</v>
      </c>
      <c r="B1" s="72"/>
      <c r="C1" s="72"/>
      <c r="D1" s="72"/>
      <c r="E1" s="72"/>
      <c r="F1" s="72"/>
      <c r="G1" s="72"/>
    </row>
    <row r="2" spans="1:7" ht="22" customHeight="1">
      <c r="A2" s="73" t="s">
        <v>750</v>
      </c>
      <c r="B2" s="72"/>
      <c r="C2" s="72"/>
      <c r="D2" s="72"/>
      <c r="E2" s="72"/>
      <c r="F2" s="72"/>
      <c r="G2" s="72"/>
    </row>
    <row r="3" spans="1:7">
      <c r="A3" s="69"/>
      <c r="B3" s="69"/>
      <c r="C3" s="69"/>
      <c r="D3" s="69"/>
      <c r="E3" s="69"/>
      <c r="F3" s="69"/>
      <c r="G3" s="69"/>
    </row>
    <row r="4" spans="1:7">
      <c r="A4" s="68"/>
      <c r="B4" s="68"/>
      <c r="C4" s="68"/>
      <c r="D4" s="68"/>
      <c r="E4" s="68"/>
      <c r="F4" s="68"/>
      <c r="G4" s="68"/>
    </row>
    <row r="5" spans="1:7" ht="30" customHeight="1">
      <c r="A5" s="11" t="s">
        <v>60</v>
      </c>
      <c r="B5" s="12" t="s">
        <v>751</v>
      </c>
      <c r="C5" s="12" t="s">
        <v>752</v>
      </c>
      <c r="D5" s="12" t="s">
        <v>753</v>
      </c>
      <c r="E5" s="13" t="s">
        <v>754</v>
      </c>
      <c r="F5" s="68"/>
      <c r="G5" s="68"/>
    </row>
    <row r="6" spans="1:7" ht="42">
      <c r="A6" s="26" t="s">
        <v>86</v>
      </c>
      <c r="B6" s="26" t="s">
        <v>755</v>
      </c>
      <c r="C6" s="26">
        <v>0</v>
      </c>
      <c r="D6" s="26" t="s">
        <v>756</v>
      </c>
      <c r="E6" s="26" t="s">
        <v>757</v>
      </c>
      <c r="F6" s="68"/>
      <c r="G6" s="68"/>
    </row>
    <row r="7" spans="1:7" ht="56">
      <c r="A7" s="27" t="s">
        <v>758</v>
      </c>
      <c r="B7" s="27" t="s">
        <v>759</v>
      </c>
      <c r="C7" s="27">
        <v>2</v>
      </c>
      <c r="D7" s="27" t="s">
        <v>760</v>
      </c>
      <c r="E7" s="27" t="s">
        <v>761</v>
      </c>
      <c r="F7" s="68"/>
      <c r="G7" s="68"/>
    </row>
    <row r="8" spans="1:7" ht="42">
      <c r="A8" s="27" t="s">
        <v>734</v>
      </c>
      <c r="B8" s="27" t="s">
        <v>762</v>
      </c>
      <c r="C8" s="27">
        <v>4</v>
      </c>
      <c r="D8" s="27" t="s">
        <v>763</v>
      </c>
      <c r="E8" s="27" t="s">
        <v>764</v>
      </c>
      <c r="F8" s="68"/>
      <c r="G8" s="68"/>
    </row>
    <row r="9" spans="1:7" ht="42">
      <c r="A9" s="27" t="s">
        <v>765</v>
      </c>
      <c r="B9" s="27" t="s">
        <v>766</v>
      </c>
      <c r="C9" s="27">
        <v>0</v>
      </c>
      <c r="D9" s="27" t="s">
        <v>767</v>
      </c>
      <c r="E9" s="27" t="s">
        <v>768</v>
      </c>
      <c r="F9" s="68"/>
      <c r="G9" s="68"/>
    </row>
    <row r="10" spans="1:7" ht="28">
      <c r="A10" s="28" t="s">
        <v>187</v>
      </c>
      <c r="B10" s="28" t="s">
        <v>769</v>
      </c>
      <c r="C10" s="28"/>
      <c r="D10" s="28" t="s">
        <v>770</v>
      </c>
      <c r="E10" s="28" t="s">
        <v>771</v>
      </c>
      <c r="F10" s="68"/>
      <c r="G10" s="68"/>
    </row>
    <row r="11" spans="1:7">
      <c r="A11" s="68"/>
      <c r="B11" s="68"/>
      <c r="C11" s="68"/>
      <c r="D11" s="68"/>
      <c r="E11" s="68"/>
      <c r="F11" s="68"/>
      <c r="G11" s="68"/>
    </row>
    <row r="12" spans="1:7">
      <c r="A12" s="68"/>
      <c r="B12" s="68"/>
      <c r="C12" s="68"/>
      <c r="D12" s="68"/>
      <c r="E12" s="68"/>
      <c r="F12" s="68"/>
      <c r="G12" s="68"/>
    </row>
    <row r="13" spans="1:7" ht="30" customHeight="1">
      <c r="A13" s="11" t="s">
        <v>772</v>
      </c>
      <c r="B13" s="12" t="s">
        <v>40</v>
      </c>
      <c r="C13" s="12" t="s">
        <v>773</v>
      </c>
      <c r="D13" s="13" t="s">
        <v>774</v>
      </c>
      <c r="E13" s="68"/>
      <c r="F13" s="68"/>
      <c r="G13" s="68"/>
    </row>
    <row r="14" spans="1:7" ht="42">
      <c r="A14" s="26" t="s">
        <v>775</v>
      </c>
      <c r="B14" s="26" t="s">
        <v>776</v>
      </c>
      <c r="C14" s="26" t="s">
        <v>777</v>
      </c>
      <c r="D14" s="26" t="s">
        <v>778</v>
      </c>
      <c r="E14" s="68"/>
      <c r="F14" s="68"/>
      <c r="G14" s="68"/>
    </row>
    <row r="15" spans="1:7" ht="42">
      <c r="A15" s="27" t="s">
        <v>779</v>
      </c>
      <c r="B15" s="27" t="s">
        <v>75</v>
      </c>
      <c r="C15" s="27" t="s">
        <v>780</v>
      </c>
      <c r="D15" s="27" t="s">
        <v>781</v>
      </c>
      <c r="E15" s="68"/>
      <c r="F15" s="68"/>
      <c r="G15" s="68"/>
    </row>
    <row r="16" spans="1:7" ht="28">
      <c r="A16" s="27" t="s">
        <v>782</v>
      </c>
      <c r="B16" s="27" t="s">
        <v>783</v>
      </c>
      <c r="C16" s="27" t="s">
        <v>784</v>
      </c>
      <c r="D16" s="27" t="s">
        <v>785</v>
      </c>
      <c r="E16" s="68"/>
      <c r="F16" s="68"/>
      <c r="G16" s="68"/>
    </row>
    <row r="17" spans="1:7" ht="28">
      <c r="A17" s="27" t="s">
        <v>786</v>
      </c>
      <c r="B17" s="27" t="s">
        <v>787</v>
      </c>
      <c r="C17" s="27" t="s">
        <v>788</v>
      </c>
      <c r="D17" s="27" t="s">
        <v>789</v>
      </c>
      <c r="E17" s="68"/>
      <c r="F17" s="68"/>
      <c r="G17" s="68"/>
    </row>
    <row r="18" spans="1:7" ht="28">
      <c r="A18" s="28" t="s">
        <v>790</v>
      </c>
      <c r="B18" s="28" t="s">
        <v>790</v>
      </c>
      <c r="C18" s="28" t="s">
        <v>791</v>
      </c>
      <c r="D18" s="28" t="s">
        <v>792</v>
      </c>
      <c r="E18" s="68"/>
      <c r="F18" s="68"/>
      <c r="G18" s="68"/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showGridLines="0" workbookViewId="0"/>
  </sheetViews>
  <sheetFormatPr baseColWidth="10" defaultColWidth="8.83203125" defaultRowHeight="14"/>
  <cols>
    <col min="1" max="6" width="22" customWidth="1"/>
  </cols>
  <sheetData>
    <row r="1" spans="1:6" ht="30" customHeight="1">
      <c r="A1" s="11" t="s">
        <v>60</v>
      </c>
      <c r="B1" s="12" t="s">
        <v>793</v>
      </c>
      <c r="C1" s="12" t="s">
        <v>794</v>
      </c>
      <c r="D1" s="12" t="s">
        <v>795</v>
      </c>
      <c r="E1" s="12" t="s">
        <v>796</v>
      </c>
      <c r="F1" s="13" t="s">
        <v>797</v>
      </c>
    </row>
    <row r="2" spans="1:6">
      <c r="A2" s="14" t="s">
        <v>187</v>
      </c>
      <c r="B2" s="14" t="s">
        <v>188</v>
      </c>
      <c r="C2" s="14" t="s">
        <v>776</v>
      </c>
      <c r="D2" s="14" t="s">
        <v>86</v>
      </c>
      <c r="E2" s="14" t="s">
        <v>700</v>
      </c>
      <c r="F2" s="14" t="s">
        <v>701</v>
      </c>
    </row>
    <row r="3" spans="1:6">
      <c r="A3" s="15" t="s">
        <v>86</v>
      </c>
      <c r="B3" s="15" t="s">
        <v>798</v>
      </c>
      <c r="C3" s="15" t="s">
        <v>75</v>
      </c>
      <c r="D3" s="15" t="s">
        <v>734</v>
      </c>
      <c r="E3" s="15" t="s">
        <v>799</v>
      </c>
      <c r="F3" s="15" t="s">
        <v>800</v>
      </c>
    </row>
    <row r="4" spans="1:6">
      <c r="A4" s="15" t="s">
        <v>758</v>
      </c>
      <c r="B4" s="15" t="s">
        <v>801</v>
      </c>
      <c r="C4" s="15" t="s">
        <v>783</v>
      </c>
      <c r="D4" s="15" t="s">
        <v>89</v>
      </c>
      <c r="E4" s="15" t="s">
        <v>802</v>
      </c>
      <c r="F4" s="15" t="s">
        <v>803</v>
      </c>
    </row>
    <row r="5" spans="1:6">
      <c r="A5" s="15" t="s">
        <v>734</v>
      </c>
      <c r="B5" s="15" t="s">
        <v>804</v>
      </c>
      <c r="C5" s="15" t="s">
        <v>787</v>
      </c>
      <c r="D5" s="15"/>
      <c r="E5" s="15" t="s">
        <v>800</v>
      </c>
      <c r="F5" s="15" t="s">
        <v>805</v>
      </c>
    </row>
    <row r="6" spans="1:6">
      <c r="A6" s="15" t="s">
        <v>765</v>
      </c>
      <c r="B6" s="15" t="s">
        <v>806</v>
      </c>
      <c r="C6" s="15"/>
      <c r="D6" s="15"/>
      <c r="E6" s="15" t="s">
        <v>805</v>
      </c>
      <c r="F6" s="15"/>
    </row>
    <row r="7" spans="1:6">
      <c r="A7" s="15"/>
      <c r="B7" s="15"/>
      <c r="C7" s="15"/>
      <c r="D7" s="15"/>
      <c r="E7" s="15" t="s">
        <v>735</v>
      </c>
      <c r="F7" s="15"/>
    </row>
    <row r="8" spans="1:6">
      <c r="A8" s="16"/>
      <c r="B8" s="16"/>
      <c r="C8" s="16"/>
      <c r="D8" s="16"/>
      <c r="E8" s="16"/>
      <c r="F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Dashboard</vt:lpstr>
      <vt:lpstr>Vendor Profile</vt:lpstr>
      <vt:lpstr>Questionnaire Scope</vt:lpstr>
      <vt:lpstr>Inherent Risk</vt:lpstr>
      <vt:lpstr>Questionnaire</vt:lpstr>
      <vt:lpstr>Evidence Register</vt:lpstr>
      <vt:lpstr>Scoring Guide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Adebayo Shobaloju</cp:lastModifiedBy>
  <dcterms:created xsi:type="dcterms:W3CDTF">2026-09-15T02:01:23Z</dcterms:created>
  <dcterms:modified xsi:type="dcterms:W3CDTF">2026-09-15T02:02:51Z</dcterms:modified>
</cp:coreProperties>
</file>